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IES" sheetId="1" r:id="rId4"/>
    <sheet state="visible" name="PAIRINGS" sheetId="2" r:id="rId5"/>
    <sheet state="visible" name="1A" sheetId="3" r:id="rId6"/>
    <sheet state="visible" name="1B" sheetId="4" r:id="rId7"/>
    <sheet state="visible" name="18A" sheetId="5" r:id="rId8"/>
    <sheet state="visible" name="18B" sheetId="6" r:id="rId9"/>
    <sheet state="visible" name="17A" sheetId="7" r:id="rId10"/>
    <sheet state="visible" name="17B" sheetId="8" r:id="rId11"/>
    <sheet state="visible" name="16A" sheetId="9" r:id="rId12"/>
    <sheet state="visible" name="16B" sheetId="10" r:id="rId13"/>
    <sheet state="visible" name="15A" sheetId="11" r:id="rId14"/>
    <sheet state="visible" name="15B" sheetId="12" r:id="rId15"/>
    <sheet state="visible" name="14A" sheetId="13" r:id="rId16"/>
    <sheet state="visible" name="14B" sheetId="14" r:id="rId17"/>
    <sheet state="visible" name="10A" sheetId="15" r:id="rId18"/>
    <sheet state="visible" name="10B" sheetId="16" r:id="rId19"/>
    <sheet state="visible" name="9A" sheetId="17" r:id="rId20"/>
    <sheet state="visible" name="9B" sheetId="18" r:id="rId21"/>
    <sheet state="visible" name="8A" sheetId="19" r:id="rId22"/>
    <sheet state="visible" name="8B" sheetId="20" r:id="rId23"/>
    <sheet state="visible" name="7A" sheetId="21" r:id="rId24"/>
    <sheet state="visible" name="7B" sheetId="22" r:id="rId25"/>
    <sheet state="visible" name="6A" sheetId="23" r:id="rId26"/>
    <sheet state="visible" name="6B" sheetId="24" r:id="rId27"/>
    <sheet state="visible" name="RESULTS" sheetId="25" r:id="rId28"/>
  </sheets>
  <definedNames/>
  <calcPr/>
</workbook>
</file>

<file path=xl/sharedStrings.xml><?xml version="1.0" encoding="utf-8"?>
<sst xmlns="http://schemas.openxmlformats.org/spreadsheetml/2006/main" count="1036" uniqueCount="200">
  <si>
    <t>Marshal</t>
  </si>
  <si>
    <t>Start</t>
  </si>
  <si>
    <t>AACPS County Championships
9/29 @ Compass Pointe 8:30am
PAIRINGS</t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</si>
  <si>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</si>
  <si>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</si>
  <si>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r>
      <rPr>
        <b/>
        <sz val="12.0"/>
      </rPr>
      <t>AACPS County Championships
9/29 @ Compass Pointe 8:30am</t>
    </r>
    <r>
      <rPr>
        <b/>
        <sz val="14.0"/>
      </rPr>
      <t xml:space="preserve">
</t>
    </r>
    <r>
      <rPr>
        <b/>
        <color rgb="FFFF0000"/>
        <sz val="18.0"/>
      </rPr>
      <t>PAIRINGS</t>
    </r>
  </si>
  <si>
    <t>First and Last Name</t>
  </si>
  <si>
    <t>Grade</t>
  </si>
  <si>
    <t>School</t>
  </si>
  <si>
    <t>M/F</t>
  </si>
  <si>
    <t>William Meyer</t>
  </si>
  <si>
    <t>OFFICIAL SCORING BY HOLE</t>
  </si>
  <si>
    <t>Annapolis</t>
  </si>
  <si>
    <t>M</t>
  </si>
  <si>
    <t>Evan Lyman</t>
  </si>
  <si>
    <t>Drew Shallcross</t>
  </si>
  <si>
    <t>Daniel Capo</t>
  </si>
  <si>
    <t>Colt Jett</t>
  </si>
  <si>
    <t>Lizzy Thibodeau</t>
  </si>
  <si>
    <t>F</t>
  </si>
  <si>
    <t>Chase Fortescue</t>
  </si>
  <si>
    <t>OUT</t>
  </si>
  <si>
    <t>Arundel</t>
  </si>
  <si>
    <t>Aidan Pelkey</t>
  </si>
  <si>
    <t>Name</t>
  </si>
  <si>
    <t>IN</t>
  </si>
  <si>
    <t>TOT</t>
  </si>
  <si>
    <t>1A</t>
  </si>
  <si>
    <t>Devin Crabbe</t>
  </si>
  <si>
    <t>Luke Gamble</t>
  </si>
  <si>
    <t>Ty Swann</t>
  </si>
  <si>
    <t>Maxwell Morgan</t>
  </si>
  <si>
    <t>Ava Shay</t>
  </si>
  <si>
    <t>Crofton</t>
  </si>
  <si>
    <t>Schlossberg (SR)</t>
  </si>
  <si>
    <t>Paige Morgan</t>
  </si>
  <si>
    <t>Davis Balderston</t>
  </si>
  <si>
    <t>Severna Park</t>
  </si>
  <si>
    <t>James Jonker</t>
  </si>
  <si>
    <t>Broadneck</t>
  </si>
  <si>
    <t>Michael Peterson</t>
  </si>
  <si>
    <t>Micah Gossard</t>
  </si>
  <si>
    <t>Max Harada</t>
  </si>
  <si>
    <t>Alex Kapikian</t>
  </si>
  <si>
    <t>Jack Smith</t>
  </si>
  <si>
    <t>Gavin Allison</t>
  </si>
  <si>
    <t>Caroline Viscardi</t>
  </si>
  <si>
    <t>Chesapeake</t>
  </si>
  <si>
    <t>1B</t>
  </si>
  <si>
    <t>Natalie Coe</t>
  </si>
  <si>
    <t>Ewan Ivey</t>
  </si>
  <si>
    <t xml:space="preserve">Lila Pietromica </t>
  </si>
  <si>
    <t>TOTAL</t>
  </si>
  <si>
    <t>Southern</t>
  </si>
  <si>
    <t>Snyder (CR)</t>
  </si>
  <si>
    <t>Claire Pierpoint</t>
  </si>
  <si>
    <t>Chase Connell</t>
  </si>
  <si>
    <t>Alan Higgins</t>
  </si>
  <si>
    <t>Nathan Reil</t>
  </si>
  <si>
    <t>Liam Finnegan</t>
  </si>
  <si>
    <t>Cooper Barnes</t>
  </si>
  <si>
    <t>Mason Bombard</t>
  </si>
  <si>
    <t>Bryn Calicoat</t>
  </si>
  <si>
    <t>18A</t>
  </si>
  <si>
    <t>Ben Cunningham</t>
  </si>
  <si>
    <t>Brobst (AR)</t>
  </si>
  <si>
    <t>Gianni Gallow</t>
  </si>
  <si>
    <t>Charlie Ward</t>
  </si>
  <si>
    <t>Nate Fine</t>
  </si>
  <si>
    <t>CJ Burke</t>
  </si>
  <si>
    <t>Ethan Kelly</t>
  </si>
  <si>
    <t>South River</t>
  </si>
  <si>
    <t>Marissa Liverpool</t>
  </si>
  <si>
    <t>Claire Kerley</t>
  </si>
  <si>
    <t>Chase Youmans</t>
  </si>
  <si>
    <t>Molly Boyle</t>
  </si>
  <si>
    <t>Emily Huus</t>
  </si>
  <si>
    <t>Rhyan Arciaga</t>
  </si>
  <si>
    <t>Jack Peery</t>
  </si>
  <si>
    <t>Chesapeake Science</t>
  </si>
  <si>
    <t>Dylan Morgan</t>
  </si>
  <si>
    <t>Devon Myers</t>
  </si>
  <si>
    <t>18B</t>
  </si>
  <si>
    <t>Glen Burnie</t>
  </si>
  <si>
    <t>J Dean (SP)</t>
  </si>
  <si>
    <t>Liam Hontz</t>
  </si>
  <si>
    <t>North County</t>
  </si>
  <si>
    <t>James Posey</t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</si>
  <si>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</si>
  <si>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t>Bryce Crandell</t>
  </si>
  <si>
    <t>Griffin Boritz</t>
  </si>
  <si>
    <t>Ethan Price</t>
  </si>
  <si>
    <t>Alec Behegan</t>
  </si>
  <si>
    <t>Nate Alimo</t>
  </si>
  <si>
    <t>17A</t>
  </si>
  <si>
    <t>Kaden Wyatt</t>
  </si>
  <si>
    <t>Owen Moon</t>
  </si>
  <si>
    <t>Northeast</t>
  </si>
  <si>
    <t>Merkel (OM)</t>
  </si>
  <si>
    <t>Mason Kolodziejski</t>
  </si>
  <si>
    <t>Ethan Goughenour</t>
  </si>
  <si>
    <t>Old Mill</t>
  </si>
  <si>
    <t>Reece Miguel</t>
  </si>
  <si>
    <t>Severn Run</t>
  </si>
  <si>
    <t>Garrett James</t>
  </si>
  <si>
    <t>Chris Jenkins</t>
  </si>
  <si>
    <t>Chris Mahnke</t>
  </si>
  <si>
    <t>Connor Giest</t>
  </si>
  <si>
    <t>Cam Kellner</t>
  </si>
  <si>
    <t>17B</t>
  </si>
  <si>
    <t>Brandon Rochon</t>
  </si>
  <si>
    <t>Brody McCafferty</t>
  </si>
  <si>
    <t>Reid (NE)</t>
  </si>
  <si>
    <t>9th</t>
  </si>
  <si>
    <t>10th</t>
  </si>
  <si>
    <t>Colin Barry</t>
  </si>
  <si>
    <t>KJ Flanagan</t>
  </si>
  <si>
    <t>11th</t>
  </si>
  <si>
    <t>Zoe Port</t>
  </si>
  <si>
    <t>16A</t>
  </si>
  <si>
    <t xml:space="preserve">Sarah Valencia </t>
  </si>
  <si>
    <t>Luca Vendemia</t>
  </si>
  <si>
    <t>Levine (AN)</t>
  </si>
  <si>
    <t xml:space="preserve">Paolo Maggio </t>
  </si>
  <si>
    <t xml:space="preserve">Jaden Thompson </t>
  </si>
  <si>
    <t>Ethan Berry</t>
  </si>
  <si>
    <t>Brooks Bailey</t>
  </si>
  <si>
    <t xml:space="preserve">Audrey Nicely </t>
  </si>
  <si>
    <t xml:space="preserve">Elizabeth Schlossberg </t>
  </si>
  <si>
    <t>Lauren Finn</t>
  </si>
  <si>
    <t>Reagan Norfolk</t>
  </si>
  <si>
    <t>16B</t>
  </si>
  <si>
    <t>Jocius (SO)</t>
  </si>
  <si>
    <t>15A</t>
  </si>
  <si>
    <t>Schmidt (GB)</t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</si>
  <si>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</si>
  <si>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t>15B</t>
  </si>
  <si>
    <t>Stimaker (BN)</t>
  </si>
  <si>
    <t>14A</t>
  </si>
  <si>
    <t>McQuaid (CSP)</t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</si>
  <si>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</si>
  <si>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t>14B</t>
  </si>
  <si>
    <t>Martin (NE)</t>
  </si>
  <si>
    <t>10A</t>
  </si>
  <si>
    <t>White (CH)</t>
  </si>
  <si>
    <t>10B</t>
  </si>
  <si>
    <t>Gardner (BN)</t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</si>
  <si>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</si>
  <si>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</si>
  <si>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t>9A</t>
  </si>
  <si>
    <t>Caruso (SRN)</t>
  </si>
  <si>
    <t>9B</t>
  </si>
  <si>
    <t>Harvan (CR)</t>
  </si>
  <si>
    <t>8A</t>
  </si>
  <si>
    <t>Nathan (NC)</t>
  </si>
  <si>
    <t>8B</t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</si>
  <si>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</si>
  <si>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t>7A</t>
  </si>
  <si>
    <t>Campbell (CH)</t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</si>
  <si>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</si>
  <si>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</si>
  <si>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t>7B</t>
  </si>
  <si>
    <t>K Dean (SP)</t>
  </si>
  <si>
    <t>6A</t>
  </si>
  <si>
    <t>Fein (SRN)</t>
  </si>
  <si>
    <t>6B</t>
  </si>
  <si>
    <t>Shay (AR)</t>
  </si>
  <si>
    <t>Spotters</t>
  </si>
  <si>
    <t>Between 3 &amp; 4</t>
  </si>
  <si>
    <t>McCormick (OM)</t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</si>
  <si>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</si>
  <si>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</si>
  <si>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t>Johnson (CH)</t>
  </si>
  <si>
    <t>Nordhausen (NC)</t>
  </si>
  <si>
    <t>Murray (GB)</t>
  </si>
  <si>
    <t>Peterson</t>
  </si>
  <si>
    <t>Holes 1-9</t>
  </si>
  <si>
    <t>Buck</t>
  </si>
  <si>
    <t>Holes 10-18</t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</si>
  <si>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</si>
  <si>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</si>
  <si>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t>(H10:H16)</t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</si>
  <si>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</si>
  <si>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</si>
  <si>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</si>
  <si>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t>Bryan Calicoat</t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</si>
  <si>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</si>
  <si>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</si>
  <si>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</si>
  <si>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</si>
  <si>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r>
      <rPr>
        <rFont val="arial,sans,sans-serif"/>
        <b/>
        <sz val="14.0"/>
      </rPr>
      <t xml:space="preserve">AACPS County Championship 
9/29 @ Compass Pointe
</t>
    </r>
    <r>
      <rPr>
        <rFont val="arial,sans,sans-serif"/>
        <b/>
        <color rgb="FFFF0000"/>
        <sz val="14.0"/>
      </rPr>
      <t>LIVE SCORING</t>
    </r>
  </si>
  <si>
    <r>
      <rPr>
        <rFont val="Arial"/>
        <b/>
        <sz val="12.0"/>
      </rPr>
      <t>County Championships
9/29 @ Compass Pointe 8:30am</t>
    </r>
    <r>
      <rPr>
        <rFont val="Arial"/>
        <b/>
        <sz val="16.0"/>
      </rPr>
      <t xml:space="preserve">
</t>
    </r>
    <r>
      <rPr>
        <rFont val="Arial"/>
        <b/>
        <color rgb="FFFF0000"/>
        <sz val="18.0"/>
      </rPr>
      <t>RESULTS</t>
    </r>
  </si>
  <si>
    <t>LEADERBOARD</t>
  </si>
  <si>
    <t>Score</t>
  </si>
  <si>
    <t>Place</t>
  </si>
  <si>
    <t>Name/School</t>
  </si>
  <si>
    <t>TOP SCORES - TEAM</t>
  </si>
  <si>
    <t>TOP SCORES - M</t>
  </si>
  <si>
    <t>Name / School</t>
  </si>
  <si>
    <t>TOP SCORES - 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</si>
</sst>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</font>
    <font>
      <b/>
      <sz val="14.0"/>
      <name val="Arial"/>
    </font>
    <font>
      <b/>
      <sz val="12.0"/>
      <color rgb="FF000000"/>
      <name val="Arial"/>
    </font>
    <font/>
    <font>
      <b/>
      <sz val="14.0"/>
    </font>
    <font>
      <sz val="14.0"/>
    </font>
    <font>
      <b/>
      <sz val="12.0"/>
      <color rgb="FF990000"/>
      <name val="Arial"/>
    </font>
    <font>
      <sz val="14.0"/>
      <name val="Arial"/>
    </font>
    <font>
      <b/>
      <sz val="24.0"/>
    </font>
    <font>
      <b/>
      <sz val="12.0"/>
      <name val="Arial"/>
    </font>
    <font>
      <b/>
      <sz val="14.0"/>
      <color rgb="FF000000"/>
      <name val="Arial"/>
    </font>
    <font>
      <color rgb="FF000000"/>
    </font>
    <font>
      <b/>
      <color rgb="FF000000"/>
    </font>
    <font>
      <sz val="12.0"/>
      <name val="Arial"/>
    </font>
    <font>
      <b/>
    </font>
    <font>
      <b/>
      <color rgb="FFFFFFFF"/>
    </font>
    <font>
      <b/>
      <sz val="12.0"/>
    </font>
    <font>
      <b/>
      <sz val="12.0"/>
      <color rgb="FF0000FF"/>
      <name val="Arial"/>
    </font>
    <font>
      <b/>
      <sz val="12.0"/>
      <color rgb="FFFFFFFF"/>
      <name val="Arial"/>
    </font>
    <font>
      <b/>
      <sz val="12.0"/>
      <color rgb="FFFFFF00"/>
      <name val="Arial"/>
    </font>
    <font>
      <b/>
      <sz val="12.0"/>
      <color rgb="FF00FFFF"/>
      <name val="Arial"/>
    </font>
    <font>
      <b/>
      <sz val="12.0"/>
      <color rgb="FFFF0000"/>
      <name val="Arial"/>
    </font>
    <font>
      <b/>
      <sz val="12.0"/>
      <color rgb="FFFF9900"/>
      <name val="Arial"/>
    </font>
    <font>
      <name val="Arial"/>
    </font>
    <font>
      <b/>
      <sz val="14.0"/>
      <color rgb="FF000000"/>
    </font>
    <font>
      <sz val="12.0"/>
      <color rgb="FF000000"/>
      <name val="Arial"/>
    </font>
    <font>
      <sz val="14.0"/>
      <color rgb="FF000000"/>
      <name val="Arial"/>
    </font>
    <font>
      <b/>
      <i/>
      <sz val="14.0"/>
      <color rgb="FF000000"/>
      <name val="Arial"/>
    </font>
    <font>
      <sz val="10.0"/>
      <name val="Arial"/>
    </font>
    <font>
      <b/>
      <name val="Arial"/>
    </font>
    <font>
      <b/>
      <sz val="10.0"/>
    </font>
    <font>
      <sz val="10.0"/>
    </font>
    <font>
      <b/>
      <sz val="16.0"/>
      <name val="Bree Serif"/>
    </font>
    <font>
      <b/>
      <sz val="30.0"/>
      <name val="Arial"/>
    </font>
    <font>
      <color rgb="FF0000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D966"/>
        <bgColor rgb="FFFFD966"/>
      </patternFill>
    </fill>
    <fill>
      <patternFill patternType="solid">
        <fgColor rgb="FFA61C00"/>
        <bgColor rgb="FFA61C00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</fills>
  <borders count="71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thick">
        <color rgb="FF000000"/>
      </top>
      <bottom style="thick">
        <color rgb="FF000000"/>
      </bottom>
    </border>
    <border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3" fillId="3" fontId="1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5" fillId="3" fontId="4" numFmtId="0" xfId="0" applyAlignment="1" applyBorder="1" applyFill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8" fillId="2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0" fillId="0" fontId="5" numFmtId="0" xfId="0" applyAlignment="1" applyFont="1">
      <alignment horizontal="center" vertical="center"/>
    </xf>
    <xf borderId="8" fillId="2" fontId="1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1" fillId="4" fontId="6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12" fillId="4" fontId="6" numFmtId="0" xfId="0" applyAlignment="1" applyBorder="1" applyFill="1" applyFont="1">
      <alignment horizontal="center" readingOrder="0" vertical="center"/>
    </xf>
    <xf borderId="12" fillId="4" fontId="6" numFmtId="0" xfId="0" applyAlignment="1" applyBorder="1" applyFill="1" applyFont="1">
      <alignment horizontal="center" readingOrder="0" shrinkToFit="0" vertical="center" wrapText="1"/>
    </xf>
    <xf borderId="13" fillId="0" fontId="8" numFmtId="0" xfId="0" applyAlignment="1" applyBorder="1" applyFont="1">
      <alignment horizontal="center" readingOrder="0" vertical="center"/>
    </xf>
    <xf borderId="14" fillId="4" fontId="6" numFmtId="0" xfId="0" applyAlignment="1" applyBorder="1" applyFill="1" applyFont="1">
      <alignment horizontal="center" readingOrder="0" vertical="center"/>
    </xf>
    <xf borderId="15" fillId="0" fontId="3" numFmtId="0" xfId="0" applyBorder="1" applyFont="1"/>
    <xf borderId="16" fillId="4" fontId="6" numFmtId="0" xfId="0" applyAlignment="1" applyBorder="1" applyFill="1" applyFont="1">
      <alignment horizontal="center" readingOrder="0" vertical="center"/>
    </xf>
    <xf borderId="17" fillId="4" fontId="6" numFmtId="0" xfId="0" applyAlignment="1" applyBorder="1" applyFill="1" applyFont="1">
      <alignment horizontal="center" readingOrder="0" vertical="center"/>
    </xf>
    <xf borderId="18" fillId="0" fontId="3" numFmtId="0" xfId="0" applyBorder="1" applyFont="1"/>
    <xf borderId="17" fillId="4" fontId="6" numFmtId="0" xfId="0" applyAlignment="1" applyBorder="1" applyFill="1" applyFont="1">
      <alignment horizontal="center" readingOrder="0" shrinkToFit="0" vertical="center" wrapText="1"/>
    </xf>
    <xf borderId="8" fillId="2" fontId="9" numFmtId="0" xfId="0" applyAlignment="1" applyBorder="1" applyFill="1" applyFont="1">
      <alignment horizontal="center" vertical="center"/>
    </xf>
    <xf borderId="19" fillId="4" fontId="6" numFmtId="0" xfId="0" applyAlignment="1" applyBorder="1" applyFill="1" applyFont="1">
      <alignment horizontal="center" readingOrder="0" vertical="center"/>
    </xf>
    <xf borderId="8" fillId="2" fontId="9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20" fillId="4" fontId="6" numFmtId="0" xfId="0" applyAlignment="1" applyBorder="1" applyFill="1" applyFont="1">
      <alignment horizontal="center" readingOrder="0" shrinkToFit="0" vertical="center" wrapText="1"/>
    </xf>
    <xf borderId="0" fillId="5" fontId="11" numFmtId="0" xfId="0" applyAlignment="1" applyFill="1" applyFont="1">
      <alignment horizontal="center" readingOrder="0" vertical="center"/>
    </xf>
    <xf borderId="21" fillId="4" fontId="6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1" fillId="6" fontId="9" numFmtId="0" xfId="0" applyAlignment="1" applyBorder="1" applyFill="1" applyFont="1">
      <alignment horizontal="center" readingOrder="0" vertical="center"/>
    </xf>
    <xf borderId="12" fillId="6" fontId="9" numFmtId="0" xfId="0" applyAlignment="1" applyBorder="1" applyFill="1" applyFont="1">
      <alignment horizontal="center" readingOrder="0" vertical="center"/>
    </xf>
    <xf borderId="0" fillId="5" fontId="12" numFmtId="0" xfId="0" applyAlignment="1" applyFill="1" applyFont="1">
      <alignment horizontal="center" readingOrder="0" vertical="center"/>
    </xf>
    <xf borderId="12" fillId="6" fontId="9" numFmtId="0" xfId="0" applyAlignment="1" applyBorder="1" applyFill="1" applyFont="1">
      <alignment horizontal="center" readingOrder="0" shrinkToFit="0" vertical="center" wrapText="1"/>
    </xf>
    <xf borderId="14" fillId="6" fontId="9" numFmtId="0" xfId="0" applyAlignment="1" applyBorder="1" applyFill="1" applyFont="1">
      <alignment horizontal="center" readingOrder="0" vertical="center"/>
    </xf>
    <xf borderId="16" fillId="6" fontId="9" numFmtId="0" xfId="0" applyAlignment="1" applyBorder="1" applyFill="1" applyFont="1">
      <alignment horizontal="center" readingOrder="0" vertical="center"/>
    </xf>
    <xf borderId="17" fillId="6" fontId="9" numFmtId="0" xfId="0" applyAlignment="1" applyBorder="1" applyFill="1" applyFont="1">
      <alignment horizontal="center" readingOrder="0" vertical="center"/>
    </xf>
    <xf borderId="9" fillId="2" fontId="1" numFmtId="0" xfId="0" applyAlignment="1" applyBorder="1" applyFill="1" applyFont="1">
      <alignment horizontal="center" vertical="center"/>
    </xf>
    <xf borderId="17" fillId="6" fontId="9" numFmtId="0" xfId="0" applyAlignment="1" applyBorder="1" applyFill="1" applyFont="1">
      <alignment horizontal="center" readingOrder="0" shrinkToFit="0" vertical="center" wrapText="1"/>
    </xf>
    <xf borderId="19" fillId="6" fontId="9" numFmtId="0" xfId="0" applyAlignment="1" applyBorder="1" applyFill="1" applyFont="1">
      <alignment horizontal="center" readingOrder="0" vertical="center"/>
    </xf>
    <xf borderId="8" fillId="0" fontId="9" numFmtId="0" xfId="0" applyAlignment="1" applyBorder="1" applyFont="1">
      <alignment horizontal="center" vertical="center"/>
    </xf>
    <xf borderId="22" fillId="7" fontId="2" numFmtId="0" xfId="0" applyAlignment="1" applyBorder="1" applyFill="1" applyFont="1">
      <alignment horizontal="center"/>
    </xf>
    <xf borderId="23" fillId="6" fontId="9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22" fillId="7" fontId="2" numFmtId="0" xfId="0" applyAlignment="1" applyBorder="1" applyFill="1" applyFont="1">
      <alignment horizontal="center" shrinkToFit="0" wrapText="1"/>
    </xf>
    <xf borderId="4" fillId="8" fontId="7" numFmtId="0" xfId="0" applyAlignment="1" applyBorder="1" applyFill="1" applyFont="1">
      <alignment horizontal="center" vertical="center"/>
    </xf>
    <xf borderId="2" fillId="8" fontId="7" numFmtId="0" xfId="0" applyAlignment="1" applyBorder="1" applyFill="1" applyFont="1">
      <alignment horizontal="center" vertical="center"/>
    </xf>
    <xf borderId="8" fillId="0" fontId="13" numFmtId="0" xfId="0" applyAlignment="1" applyBorder="1" applyFont="1">
      <alignment horizontal="center" readingOrder="0" vertical="center"/>
    </xf>
    <xf borderId="24" fillId="8" fontId="7" numFmtId="0" xfId="0" applyAlignment="1" applyBorder="1" applyFill="1" applyFont="1">
      <alignment horizontal="center" vertical="center"/>
    </xf>
    <xf borderId="25" fillId="3" fontId="3" numFmtId="0" xfId="0" applyAlignment="1" applyBorder="1" applyFill="1" applyFont="1">
      <alignment horizontal="center" readingOrder="0" vertical="center"/>
    </xf>
    <xf borderId="26" fillId="3" fontId="3" numFmtId="0" xfId="0" applyAlignment="1" applyBorder="1" applyFill="1" applyFont="1">
      <alignment horizontal="center" readingOrder="0" vertical="center"/>
    </xf>
    <xf borderId="27" fillId="8" fontId="7" numFmtId="0" xfId="0" applyAlignment="1" applyBorder="1" applyFill="1" applyFont="1">
      <alignment horizontal="center" vertical="center"/>
    </xf>
    <xf borderId="28" fillId="0" fontId="10" numFmtId="0" xfId="0" applyAlignment="1" applyBorder="1" applyFont="1">
      <alignment horizontal="center" shrinkToFit="0" vertical="center" wrapText="1"/>
    </xf>
    <xf borderId="26" fillId="5" fontId="14" numFmtId="0" xfId="0" applyAlignment="1" applyBorder="1" applyFill="1" applyFont="1">
      <alignment horizontal="center" readingOrder="0" vertical="center"/>
    </xf>
    <xf borderId="22" fillId="0" fontId="10" numFmtId="0" xfId="0" applyAlignment="1" applyBorder="1" applyFont="1">
      <alignment horizontal="center" shrinkToFit="0" vertical="center" wrapText="1"/>
    </xf>
    <xf borderId="20" fillId="6" fontId="9" numFmtId="0" xfId="0" applyAlignment="1" applyBorder="1" applyFill="1" applyFont="1">
      <alignment horizontal="center" readingOrder="0" vertical="center"/>
    </xf>
    <xf borderId="22" fillId="0" fontId="10" numFmtId="0" xfId="0" applyAlignment="1" applyBorder="1" applyFont="1">
      <alignment horizontal="center" readingOrder="0" vertical="center"/>
    </xf>
    <xf borderId="26" fillId="5" fontId="14" numFmtId="0" xfId="0" applyAlignment="1" applyBorder="1" applyFill="1" applyFont="1">
      <alignment horizontal="center" vertical="center"/>
    </xf>
    <xf borderId="20" fillId="6" fontId="9" numFmtId="0" xfId="0" applyAlignment="1" applyBorder="1" applyFill="1" applyFont="1">
      <alignment horizontal="center" readingOrder="0" shrinkToFit="0" vertical="center" wrapText="1"/>
    </xf>
    <xf borderId="21" fillId="6" fontId="9" numFmtId="0" xfId="0" applyAlignment="1" applyBorder="1" applyFill="1" applyFont="1">
      <alignment horizontal="center" readingOrder="0" vertical="center"/>
    </xf>
    <xf borderId="29" fillId="9" fontId="15" numFmtId="0" xfId="0" applyAlignment="1" applyBorder="1" applyFill="1" applyFont="1">
      <alignment horizontal="center" vertical="center"/>
    </xf>
    <xf borderId="30" fillId="6" fontId="9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horizontal="center" vertical="center"/>
    </xf>
    <xf borderId="31" fillId="0" fontId="3" numFmtId="0" xfId="0" applyBorder="1" applyFont="1"/>
    <xf borderId="0" fillId="6" fontId="16" numFmtId="0" xfId="0" applyAlignment="1" applyFill="1" applyFont="1">
      <alignment horizontal="center" readingOrder="0"/>
    </xf>
    <xf borderId="17" fillId="10" fontId="17" numFmtId="0" xfId="0" applyAlignment="1" applyBorder="1" applyFill="1" applyFont="1">
      <alignment horizontal="center"/>
    </xf>
    <xf borderId="27" fillId="0" fontId="10" numFmtId="0" xfId="0" applyAlignment="1" applyBorder="1" applyFont="1">
      <alignment horizontal="center" shrinkToFit="0" vertical="center" wrapText="1"/>
    </xf>
    <xf borderId="17" fillId="10" fontId="17" numFmtId="0" xfId="0" applyAlignment="1" applyBorder="1" applyFill="1" applyFont="1">
      <alignment horizontal="center" shrinkToFit="0" wrapText="1"/>
    </xf>
    <xf borderId="30" fillId="6" fontId="9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readingOrder="0" vertical="center"/>
    </xf>
    <xf borderId="11" fillId="11" fontId="18" numFmtId="0" xfId="0" applyAlignment="1" applyBorder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32" fillId="0" fontId="10" numFmtId="0" xfId="0" applyAlignment="1" applyBorder="1" applyFont="1">
      <alignment horizontal="center" shrinkToFit="0" vertical="center" wrapText="1"/>
    </xf>
    <xf borderId="12" fillId="11" fontId="18" numFmtId="0" xfId="0" applyAlignment="1" applyBorder="1" applyFill="1" applyFont="1">
      <alignment horizontal="center" readingOrder="0" vertical="center"/>
    </xf>
    <xf borderId="12" fillId="11" fontId="18" numFmtId="0" xfId="0" applyAlignment="1" applyBorder="1" applyFill="1" applyFont="1">
      <alignment horizontal="center" readingOrder="0" shrinkToFit="0" vertical="center" wrapText="1"/>
    </xf>
    <xf borderId="14" fillId="11" fontId="18" numFmtId="0" xfId="0" applyAlignment="1" applyBorder="1" applyFill="1" applyFont="1">
      <alignment horizontal="center" readingOrder="0" vertical="center"/>
    </xf>
    <xf borderId="4" fillId="9" fontId="15" numFmtId="0" xfId="0" applyAlignment="1" applyBorder="1" applyFill="1" applyFont="1">
      <alignment horizontal="center" vertical="center"/>
    </xf>
    <xf borderId="17" fillId="0" fontId="10" numFmtId="0" xfId="0" applyAlignment="1" applyBorder="1" applyFont="1">
      <alignment horizontal="center" readingOrder="0" shrinkToFit="0" vertical="center" wrapText="1"/>
    </xf>
    <xf borderId="16" fillId="11" fontId="18" numFmtId="0" xfId="0" applyAlignment="1" applyBorder="1" applyFill="1" applyFont="1">
      <alignment horizontal="center" readingOrder="0" vertical="center"/>
    </xf>
    <xf borderId="17" fillId="11" fontId="18" numFmtId="0" xfId="0" applyAlignment="1" applyBorder="1" applyFill="1" applyFont="1">
      <alignment horizontal="center"/>
    </xf>
    <xf borderId="17" fillId="0" fontId="10" numFmtId="0" xfId="0" applyAlignment="1" applyBorder="1" applyFont="1">
      <alignment horizontal="center" readingOrder="0" vertical="center"/>
    </xf>
    <xf borderId="17" fillId="11" fontId="18" numFmtId="0" xfId="0" applyAlignment="1" applyBorder="1" applyFill="1" applyFont="1">
      <alignment horizontal="center" readingOrder="0" vertical="center"/>
    </xf>
    <xf borderId="17" fillId="11" fontId="18" numFmtId="0" xfId="0" applyAlignment="1" applyBorder="1" applyFill="1" applyFont="1">
      <alignment horizontal="center" shrinkToFit="0" wrapText="1"/>
    </xf>
    <xf borderId="17" fillId="11" fontId="18" numFmtId="0" xfId="0" applyAlignment="1" applyBorder="1" applyFill="1" applyFont="1">
      <alignment horizontal="center" readingOrder="0" shrinkToFit="0" vertical="center" wrapText="1"/>
    </xf>
    <xf borderId="23" fillId="11" fontId="18" numFmtId="0" xfId="0" applyAlignment="1" applyBorder="1" applyFill="1" applyFont="1">
      <alignment horizontal="center" readingOrder="0" vertical="center"/>
    </xf>
    <xf borderId="17" fillId="0" fontId="10" numFmtId="0" xfId="0" applyAlignment="1" applyBorder="1" applyFont="1">
      <alignment horizontal="center" shrinkToFit="0" vertical="center" wrapText="1"/>
    </xf>
    <xf borderId="20" fillId="11" fontId="18" numFmtId="0" xfId="0" applyAlignment="1" applyBorder="1" applyFill="1" applyFont="1">
      <alignment horizontal="center" readingOrder="0" vertical="center"/>
    </xf>
    <xf borderId="33" fillId="0" fontId="3" numFmtId="0" xfId="0" applyBorder="1" applyFont="1"/>
    <xf borderId="20" fillId="11" fontId="18" numFmtId="0" xfId="0" applyAlignment="1" applyBorder="1" applyFill="1" applyFont="1">
      <alignment horizontal="center" readingOrder="0" shrinkToFit="0" vertical="center" wrapText="1"/>
    </xf>
    <xf borderId="34" fillId="12" fontId="9" numFmtId="0" xfId="0" applyAlignment="1" applyBorder="1" applyFill="1" applyFont="1">
      <alignment horizontal="center"/>
    </xf>
    <xf borderId="35" fillId="0" fontId="10" numFmtId="0" xfId="0" applyAlignment="1" applyBorder="1" applyFont="1">
      <alignment horizontal="center" shrinkToFit="0" vertical="center" wrapText="1"/>
    </xf>
    <xf borderId="34" fillId="12" fontId="2" numFmtId="0" xfId="0" applyAlignment="1" applyBorder="1" applyFill="1" applyFont="1">
      <alignment horizontal="center" shrinkToFit="0" wrapText="1"/>
    </xf>
    <xf borderId="28" fillId="0" fontId="1" numFmtId="0" xfId="0" applyAlignment="1" applyBorder="1" applyFont="1">
      <alignment horizontal="center" shrinkToFit="0" vertical="center" wrapText="1"/>
    </xf>
    <xf borderId="34" fillId="0" fontId="10" numFmtId="0" xfId="0" applyAlignment="1" applyBorder="1" applyFont="1">
      <alignment horizontal="center" shrinkToFit="0" vertical="center" wrapText="1"/>
    </xf>
    <xf borderId="36" fillId="3" fontId="3" numFmtId="0" xfId="0" applyAlignment="1" applyBorder="1" applyFill="1" applyFont="1">
      <alignment horizontal="center" readingOrder="0" vertical="center"/>
    </xf>
    <xf borderId="34" fillId="0" fontId="10" numFmtId="0" xfId="0" applyAlignment="1" applyBorder="1" applyFont="1">
      <alignment horizontal="center" readingOrder="0" vertical="center"/>
    </xf>
    <xf borderId="37" fillId="3" fontId="3" numFmtId="0" xfId="0" applyAlignment="1" applyBorder="1" applyFill="1" applyFont="1">
      <alignment horizontal="center" readingOrder="0" vertical="center"/>
    </xf>
    <xf borderId="38" fillId="0" fontId="1" numFmtId="0" xfId="0" applyAlignment="1" applyBorder="1" applyFont="1">
      <alignment horizontal="center" shrinkToFit="0" vertical="center" wrapText="1"/>
    </xf>
    <xf borderId="4" fillId="8" fontId="1" numFmtId="0" xfId="0" applyAlignment="1" applyBorder="1" applyFill="1" applyFont="1">
      <alignment horizontal="center" vertical="center"/>
    </xf>
    <xf borderId="30" fillId="11" fontId="18" numFmtId="0" xfId="0" applyAlignment="1" applyBorder="1" applyFill="1" applyFont="1">
      <alignment horizontal="center" readingOrder="0" vertical="center"/>
    </xf>
    <xf borderId="2" fillId="8" fontId="1" numFmtId="0" xfId="0" applyAlignment="1" applyBorder="1" applyFill="1" applyFont="1">
      <alignment horizontal="center" vertical="center"/>
    </xf>
    <xf borderId="24" fillId="8" fontId="1" numFmtId="0" xfId="0" applyAlignment="1" applyBorder="1" applyFill="1" applyFont="1">
      <alignment horizontal="center" vertical="center"/>
    </xf>
    <xf borderId="39" fillId="9" fontId="15" numFmtId="0" xfId="0" applyAlignment="1" applyBorder="1" applyFill="1" applyFont="1">
      <alignment horizontal="center" vertical="center"/>
    </xf>
    <xf borderId="30" fillId="11" fontId="18" numFmtId="0" xfId="0" applyAlignment="1" applyBorder="1" applyFill="1" applyFont="1">
      <alignment horizontal="center" readingOrder="0" shrinkToFit="0" vertical="center" wrapText="1"/>
    </xf>
    <xf borderId="22" fillId="13" fontId="19" numFmtId="0" xfId="0" applyAlignment="1" applyBorder="1" applyFill="1" applyFont="1">
      <alignment horizontal="center"/>
    </xf>
    <xf borderId="39" fillId="11" fontId="18" numFmtId="0" xfId="0" applyAlignment="1" applyBorder="1" applyFill="1" applyFont="1">
      <alignment horizontal="center" readingOrder="0" vertical="center"/>
    </xf>
    <xf borderId="22" fillId="13" fontId="19" numFmtId="0" xfId="0" applyAlignment="1" applyBorder="1" applyFill="1" applyFont="1">
      <alignment horizontal="center" shrinkToFit="0" wrapText="1"/>
    </xf>
    <xf borderId="40" fillId="8" fontId="1" numFmtId="0" xfId="0" applyAlignment="1" applyBorder="1" applyFill="1" applyFont="1">
      <alignment horizontal="center" vertical="center"/>
    </xf>
    <xf borderId="36" fillId="11" fontId="18" numFmtId="0" xfId="0" applyAlignment="1" applyBorder="1" applyFill="1" applyFont="1">
      <alignment horizontal="center" readingOrder="0" vertical="center"/>
    </xf>
    <xf borderId="32" fillId="0" fontId="1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horizontal="center" readingOrder="0" vertical="center"/>
    </xf>
    <xf borderId="11" fillId="12" fontId="9" numFmtId="0" xfId="0" applyAlignment="1" applyBorder="1" applyFill="1" applyFont="1">
      <alignment horizontal="center" readingOrder="0" vertical="center"/>
    </xf>
    <xf borderId="13" fillId="0" fontId="1" numFmtId="0" xfId="0" applyAlignment="1" applyBorder="1" applyFont="1">
      <alignment horizontal="center" shrinkToFit="0" vertical="center" wrapText="1"/>
    </xf>
    <xf borderId="12" fillId="12" fontId="9" numFmtId="0" xfId="0" applyAlignment="1" applyBorder="1" applyFill="1" applyFont="1">
      <alignment horizontal="center" readingOrder="0" vertical="center"/>
    </xf>
    <xf borderId="12" fillId="12" fontId="2" numFmtId="0" xfId="0" applyAlignment="1" applyBorder="1" applyFill="1" applyFont="1">
      <alignment horizontal="center" readingOrder="0" shrinkToFit="0" vertical="center" wrapText="1"/>
    </xf>
    <xf borderId="14" fillId="12" fontId="9" numFmtId="0" xfId="0" applyAlignment="1" applyBorder="1" applyFill="1" applyFont="1">
      <alignment horizontal="center" readingOrder="0" vertical="center"/>
    </xf>
    <xf borderId="16" fillId="12" fontId="9" numFmtId="0" xfId="0" applyAlignment="1" applyBorder="1" applyFill="1" applyFont="1">
      <alignment horizontal="center" readingOrder="0" vertical="center"/>
    </xf>
    <xf borderId="17" fillId="12" fontId="9" numFmtId="0" xfId="0" applyAlignment="1" applyBorder="1" applyFill="1" applyFont="1">
      <alignment horizontal="center" readingOrder="0" vertical="center"/>
    </xf>
    <xf borderId="17" fillId="12" fontId="2" numFmtId="0" xfId="0" applyAlignment="1" applyBorder="1" applyFill="1" applyFont="1">
      <alignment horizontal="center" readingOrder="0" shrinkToFit="0" vertical="center" wrapText="1"/>
    </xf>
    <xf borderId="19" fillId="12" fontId="9" numFmtId="0" xfId="0" applyAlignment="1" applyBorder="1" applyFill="1" applyFont="1">
      <alignment horizontal="center" readingOrder="0" vertical="center"/>
    </xf>
    <xf borderId="23" fillId="12" fontId="9" numFmtId="0" xfId="0" applyAlignment="1" applyBorder="1" applyFill="1" applyFont="1">
      <alignment horizontal="center" readingOrder="0" vertical="center"/>
    </xf>
    <xf borderId="35" fillId="0" fontId="1" numFmtId="0" xfId="0" applyAlignment="1" applyBorder="1" applyFont="1">
      <alignment horizontal="center" shrinkToFit="0" vertical="center" wrapText="1"/>
    </xf>
    <xf borderId="20" fillId="12" fontId="9" numFmtId="0" xfId="0" applyAlignment="1" applyBorder="1" applyFill="1" applyFont="1">
      <alignment horizontal="center" readingOrder="0" vertical="center"/>
    </xf>
    <xf borderId="20" fillId="12" fontId="2" numFmtId="0" xfId="0" applyAlignment="1" applyBorder="1" applyFill="1" applyFont="1">
      <alignment horizontal="center" readingOrder="0" shrinkToFit="0" vertical="center" wrapText="1"/>
    </xf>
    <xf borderId="41" fillId="0" fontId="1" numFmtId="0" xfId="0" applyAlignment="1" applyBorder="1" applyFont="1">
      <alignment horizontal="center" shrinkToFit="0" vertical="center" wrapText="1"/>
    </xf>
    <xf borderId="21" fillId="12" fontId="9" numFmtId="0" xfId="0" applyAlignment="1" applyBorder="1" applyFill="1" applyFont="1">
      <alignment horizontal="center" readingOrder="0" vertical="center"/>
    </xf>
    <xf borderId="30" fillId="12" fontId="9" numFmtId="0" xfId="0" applyAlignment="1" applyBorder="1" applyFill="1" applyFont="1">
      <alignment horizontal="center" readingOrder="0" vertical="center"/>
    </xf>
    <xf borderId="30" fillId="12" fontId="2" numFmtId="0" xfId="0" applyAlignment="1" applyBorder="1" applyFill="1" applyFont="1">
      <alignment horizontal="center" readingOrder="0" shrinkToFit="0" vertical="center" wrapText="1"/>
    </xf>
    <xf borderId="11" fillId="7" fontId="2" numFmtId="0" xfId="0" applyAlignment="1" applyBorder="1" applyFill="1" applyFont="1">
      <alignment horizontal="center" readingOrder="0" vertical="center"/>
    </xf>
    <xf borderId="12" fillId="7" fontId="2" numFmtId="0" xfId="0" applyAlignment="1" applyBorder="1" applyFill="1" applyFont="1">
      <alignment horizontal="center" readingOrder="0" vertical="center"/>
    </xf>
    <xf borderId="22" fillId="11" fontId="18" numFmtId="0" xfId="0" applyAlignment="1" applyBorder="1" applyFill="1" applyFont="1">
      <alignment horizontal="center"/>
    </xf>
    <xf borderId="12" fillId="7" fontId="2" numFmtId="0" xfId="0" applyAlignment="1" applyBorder="1" applyFill="1" applyFont="1">
      <alignment horizontal="center" readingOrder="0" shrinkToFit="0" vertical="center" wrapText="1"/>
    </xf>
    <xf borderId="14" fillId="7" fontId="2" numFmtId="0" xfId="0" applyAlignment="1" applyBorder="1" applyFill="1" applyFont="1">
      <alignment horizontal="center" readingOrder="0" vertical="center"/>
    </xf>
    <xf borderId="22" fillId="11" fontId="18" numFmtId="0" xfId="0" applyAlignment="1" applyBorder="1" applyFill="1" applyFont="1">
      <alignment horizontal="center" shrinkToFit="0" wrapText="1"/>
    </xf>
    <xf borderId="16" fillId="7" fontId="2" numFmtId="0" xfId="0" applyAlignment="1" applyBorder="1" applyFill="1" applyFont="1">
      <alignment horizontal="center" readingOrder="0" vertical="center"/>
    </xf>
    <xf borderId="17" fillId="7" fontId="2" numFmtId="0" xfId="0" applyAlignment="1" applyBorder="1" applyFill="1" applyFont="1">
      <alignment horizontal="center" readingOrder="0" vertical="center"/>
    </xf>
    <xf borderId="8" fillId="0" fontId="1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vertical="center"/>
    </xf>
    <xf borderId="7" fillId="3" fontId="3" numFmtId="0" xfId="0" applyAlignment="1" applyBorder="1" applyFill="1" applyFont="1">
      <alignment horizontal="center" readingOrder="0" vertical="center"/>
    </xf>
    <xf borderId="17" fillId="7" fontId="2" numFmtId="0" xfId="0" applyAlignment="1" applyBorder="1" applyFill="1" applyFont="1">
      <alignment horizontal="center" readingOrder="0" shrinkToFit="0" vertical="center" wrapText="1"/>
    </xf>
    <xf borderId="40" fillId="8" fontId="7" numFmtId="0" xfId="0" applyAlignment="1" applyBorder="1" applyFill="1" applyFont="1">
      <alignment horizontal="center" vertical="center"/>
    </xf>
    <xf borderId="19" fillId="7" fontId="2" numFmtId="0" xfId="0" applyAlignment="1" applyBorder="1" applyFill="1" applyFont="1">
      <alignment horizontal="center" readingOrder="0" vertical="center"/>
    </xf>
    <xf borderId="7" fillId="5" fontId="14" numFmtId="0" xfId="0" applyAlignment="1" applyBorder="1" applyFill="1" applyFont="1">
      <alignment horizontal="center" readingOrder="0" vertical="center"/>
    </xf>
    <xf borderId="7" fillId="5" fontId="14" numFmtId="0" xfId="0" applyAlignment="1" applyBorder="1" applyFill="1" applyFont="1">
      <alignment horizontal="center" vertical="center"/>
    </xf>
    <xf borderId="10" fillId="9" fontId="15" numFmtId="0" xfId="0" applyAlignment="1" applyBorder="1" applyFill="1" applyFont="1">
      <alignment horizontal="center" vertical="center"/>
    </xf>
    <xf borderId="17" fillId="14" fontId="20" numFmtId="0" xfId="0" applyAlignment="1" applyBorder="1" applyFill="1" applyFont="1">
      <alignment horizontal="center"/>
    </xf>
    <xf borderId="23" fillId="7" fontId="2" numFmtId="0" xfId="0" applyAlignment="1" applyBorder="1" applyFill="1" applyFont="1">
      <alignment horizontal="center" readingOrder="0" vertical="center"/>
    </xf>
    <xf borderId="17" fillId="14" fontId="20" numFmtId="0" xfId="0" applyAlignment="1" applyBorder="1" applyFill="1" applyFont="1">
      <alignment horizontal="center" shrinkToFit="0" wrapText="1"/>
    </xf>
    <xf borderId="20" fillId="7" fontId="2" numFmtId="0" xfId="0" applyAlignment="1" applyBorder="1" applyFill="1" applyFont="1">
      <alignment horizontal="center" readingOrder="0" vertical="center"/>
    </xf>
    <xf borderId="20" fillId="7" fontId="2" numFmtId="0" xfId="0" applyAlignment="1" applyBorder="1" applyFill="1" applyFont="1">
      <alignment horizontal="center" readingOrder="0" shrinkToFit="0" vertical="center" wrapText="1"/>
    </xf>
    <xf borderId="21" fillId="7" fontId="2" numFmtId="0" xfId="0" applyAlignment="1" applyBorder="1" applyFill="1" applyFont="1">
      <alignment horizontal="center" readingOrder="0" vertical="center"/>
    </xf>
    <xf borderId="0" fillId="5" fontId="14" numFmtId="0" xfId="0" applyAlignment="1" applyFill="1" applyFont="1">
      <alignment horizontal="center" readingOrder="0" vertical="center"/>
    </xf>
    <xf borderId="30" fillId="7" fontId="2" numFmtId="0" xfId="0" applyAlignment="1" applyBorder="1" applyFill="1" applyFont="1">
      <alignment horizontal="center" readingOrder="0" vertical="center"/>
    </xf>
    <xf borderId="30" fillId="7" fontId="2" numFmtId="0" xfId="0" applyAlignment="1" applyBorder="1" applyFill="1" applyFont="1">
      <alignment horizontal="center" readingOrder="0" shrinkToFit="0" vertical="center" wrapText="1"/>
    </xf>
    <xf borderId="0" fillId="5" fontId="14" numFmtId="0" xfId="0" applyAlignment="1" applyFill="1" applyFont="1">
      <alignment horizontal="center" vertical="center"/>
    </xf>
    <xf borderId="42" fillId="9" fontId="15" numFmtId="0" xfId="0" applyAlignment="1" applyBorder="1" applyFill="1" applyFont="1">
      <alignment horizontal="center" vertical="center"/>
    </xf>
    <xf borderId="17" fillId="13" fontId="19" numFmtId="0" xfId="0" applyAlignment="1" applyBorder="1" applyFill="1" applyFont="1">
      <alignment horizontal="center"/>
    </xf>
    <xf borderId="17" fillId="13" fontId="19" numFmtId="0" xfId="0" applyAlignment="1" applyBorder="1" applyFill="1" applyFont="1">
      <alignment horizontal="center" shrinkToFit="0" wrapText="1"/>
    </xf>
    <xf borderId="39" fillId="7" fontId="2" numFmtId="0" xfId="0" applyAlignment="1" applyBorder="1" applyFill="1" applyFont="1">
      <alignment horizontal="center" readingOrder="0" vertical="center"/>
    </xf>
    <xf borderId="11" fillId="15" fontId="9" numFmtId="0" xfId="0" applyAlignment="1" applyBorder="1" applyFill="1" applyFont="1">
      <alignment horizontal="center" readingOrder="0" vertical="center"/>
    </xf>
    <xf borderId="34" fillId="10" fontId="17" numFmtId="0" xfId="0" applyAlignment="1" applyBorder="1" applyFill="1" applyFont="1">
      <alignment horizontal="center"/>
    </xf>
    <xf borderId="12" fillId="15" fontId="9" numFmtId="0" xfId="0" applyAlignment="1" applyBorder="1" applyFill="1" applyFont="1">
      <alignment horizontal="center" readingOrder="0" vertical="center"/>
    </xf>
    <xf borderId="34" fillId="10" fontId="17" numFmtId="0" xfId="0" applyAlignment="1" applyBorder="1" applyFill="1" applyFont="1">
      <alignment horizontal="center" shrinkToFit="0" wrapText="1"/>
    </xf>
    <xf borderId="12" fillId="15" fontId="9" numFmtId="0" xfId="0" applyAlignment="1" applyBorder="1" applyFill="1" applyFont="1">
      <alignment horizontal="center" readingOrder="0" shrinkToFit="0" vertical="center" wrapText="1"/>
    </xf>
    <xf borderId="43" fillId="0" fontId="3" numFmtId="0" xfId="0" applyAlignment="1" applyBorder="1" applyFont="1">
      <alignment horizontal="center" vertical="center"/>
    </xf>
    <xf borderId="14" fillId="15" fontId="9" numFmtId="0" xfId="0" applyAlignment="1" applyBorder="1" applyFill="1" applyFont="1">
      <alignment horizontal="center" readingOrder="0" vertical="center"/>
    </xf>
    <xf borderId="43" fillId="3" fontId="3" numFmtId="0" xfId="0" applyAlignment="1" applyBorder="1" applyFill="1" applyFont="1">
      <alignment horizontal="center" readingOrder="0" vertical="center"/>
    </xf>
    <xf borderId="16" fillId="15" fontId="9" numFmtId="0" xfId="0" applyAlignment="1" applyBorder="1" applyFill="1" applyFont="1">
      <alignment horizontal="center" readingOrder="0" vertical="center"/>
    </xf>
    <xf borderId="17" fillId="15" fontId="9" numFmtId="0" xfId="0" applyAlignment="1" applyBorder="1" applyFill="1" applyFont="1">
      <alignment horizontal="center" readingOrder="0" vertical="center"/>
    </xf>
    <xf borderId="43" fillId="5" fontId="14" numFmtId="0" xfId="0" applyAlignment="1" applyBorder="1" applyFill="1" applyFont="1">
      <alignment horizontal="center" readingOrder="0" vertical="center"/>
    </xf>
    <xf borderId="17" fillId="15" fontId="9" numFmtId="0" xfId="0" applyAlignment="1" applyBorder="1" applyFill="1" applyFont="1">
      <alignment horizontal="center" readingOrder="0" shrinkToFit="0" vertical="center" wrapText="1"/>
    </xf>
    <xf borderId="19" fillId="15" fontId="9" numFmtId="0" xfId="0" applyAlignment="1" applyBorder="1" applyFill="1" applyFont="1">
      <alignment horizontal="center" readingOrder="0" vertical="center"/>
    </xf>
    <xf borderId="43" fillId="5" fontId="14" numFmtId="0" xfId="0" applyAlignment="1" applyBorder="1" applyFill="1" applyFont="1">
      <alignment horizontal="center" vertical="center"/>
    </xf>
    <xf borderId="11" fillId="7" fontId="18" numFmtId="0" xfId="0" applyAlignment="1" applyBorder="1" applyFill="1" applyFont="1">
      <alignment horizontal="center" readingOrder="0" vertical="center"/>
    </xf>
    <xf borderId="44" fillId="9" fontId="15" numFmtId="0" xfId="0" applyAlignment="1" applyBorder="1" applyFill="1" applyFont="1">
      <alignment horizontal="center" vertical="center"/>
    </xf>
    <xf borderId="12" fillId="7" fontId="18" numFmtId="0" xfId="0" applyAlignment="1" applyBorder="1" applyFill="1" applyFont="1">
      <alignment horizontal="center" readingOrder="0" vertical="center"/>
    </xf>
    <xf borderId="12" fillId="7" fontId="18" numFmtId="0" xfId="0" applyAlignment="1" applyBorder="1" applyFill="1" applyFont="1">
      <alignment horizontal="center" readingOrder="0" shrinkToFit="0" vertical="center" wrapText="1"/>
    </xf>
    <xf borderId="14" fillId="7" fontId="18" numFmtId="0" xfId="0" applyAlignment="1" applyBorder="1" applyFill="1" applyFont="1">
      <alignment horizontal="center" readingOrder="0" vertical="center"/>
    </xf>
    <xf borderId="45" fillId="16" fontId="21" numFmtId="0" xfId="0" applyAlignment="1" applyBorder="1" applyFill="1" applyFont="1">
      <alignment horizontal="center" readingOrder="0" vertical="center"/>
    </xf>
    <xf borderId="30" fillId="16" fontId="21" numFmtId="0" xfId="0" applyAlignment="1" applyBorder="1" applyFill="1" applyFont="1">
      <alignment horizontal="center" readingOrder="0" vertical="center"/>
    </xf>
    <xf borderId="30" fillId="16" fontId="21" numFmtId="0" xfId="0" applyAlignment="1" applyBorder="1" applyFill="1" applyFont="1">
      <alignment horizontal="center" readingOrder="0" shrinkToFit="0" vertical="center" wrapText="1"/>
    </xf>
    <xf borderId="46" fillId="16" fontId="21" numFmtId="0" xfId="0" applyAlignment="1" applyBorder="1" applyFill="1" applyFont="1">
      <alignment horizontal="center" readingOrder="0" vertical="center"/>
    </xf>
    <xf borderId="17" fillId="6" fontId="9" numFmtId="0" xfId="0" applyAlignment="1" applyBorder="1" applyFill="1" applyFont="1">
      <alignment horizontal="center"/>
    </xf>
    <xf borderId="16" fillId="16" fontId="21" numFmtId="0" xfId="0" applyAlignment="1" applyBorder="1" applyFill="1" applyFont="1">
      <alignment horizontal="center" readingOrder="0" vertical="center"/>
    </xf>
    <xf borderId="17" fillId="6" fontId="9" numFmtId="0" xfId="0" applyAlignment="1" applyBorder="1" applyFill="1" applyFont="1">
      <alignment horizontal="center" shrinkToFit="0" wrapText="1"/>
    </xf>
    <xf borderId="17" fillId="16" fontId="21" numFmtId="0" xfId="0" applyAlignment="1" applyBorder="1" applyFill="1" applyFont="1">
      <alignment horizontal="center" readingOrder="0" vertical="center"/>
    </xf>
    <xf borderId="17" fillId="16" fontId="21" numFmtId="0" xfId="0" applyAlignment="1" applyBorder="1" applyFill="1" applyFont="1">
      <alignment horizontal="center" readingOrder="0" shrinkToFit="0" vertical="center" wrapText="1"/>
    </xf>
    <xf borderId="19" fillId="16" fontId="21" numFmtId="0" xfId="0" applyAlignment="1" applyBorder="1" applyFill="1" applyFont="1">
      <alignment horizontal="center" readingOrder="0" vertical="center"/>
    </xf>
    <xf borderId="23" fillId="16" fontId="21" numFmtId="0" xfId="0" applyAlignment="1" applyBorder="1" applyFill="1" applyFont="1">
      <alignment horizontal="center" readingOrder="0" vertical="center"/>
    </xf>
    <xf borderId="20" fillId="16" fontId="21" numFmtId="0" xfId="0" applyAlignment="1" applyBorder="1" applyFill="1" applyFont="1">
      <alignment horizontal="center" readingOrder="0" vertical="center"/>
    </xf>
    <xf borderId="20" fillId="16" fontId="21" numFmtId="0" xfId="0" applyAlignment="1" applyBorder="1" applyFill="1" applyFont="1">
      <alignment horizontal="center" readingOrder="0" shrinkToFit="0" vertical="center" wrapText="1"/>
    </xf>
    <xf borderId="21" fillId="16" fontId="21" numFmtId="0" xfId="0" applyAlignment="1" applyBorder="1" applyFill="1" applyFont="1">
      <alignment horizontal="center" readingOrder="0" vertical="center"/>
    </xf>
    <xf borderId="11" fillId="17" fontId="9" numFmtId="0" xfId="0" applyAlignment="1" applyBorder="1" applyFill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12" fillId="17" fontId="9" numFmtId="0" xfId="0" applyAlignment="1" applyBorder="1" applyFill="1" applyFont="1">
      <alignment horizontal="center" readingOrder="0" vertical="center"/>
    </xf>
    <xf borderId="12" fillId="17" fontId="9" numFmtId="0" xfId="0" applyAlignment="1" applyBorder="1" applyFill="1" applyFont="1">
      <alignment horizontal="center" readingOrder="0" shrinkToFit="0" vertical="center" wrapText="1"/>
    </xf>
    <xf borderId="14" fillId="17" fontId="9" numFmtId="0" xfId="0" applyAlignment="1" applyBorder="1" applyFill="1" applyFont="1">
      <alignment horizontal="center" readingOrder="0" vertical="center"/>
    </xf>
    <xf borderId="16" fillId="17" fontId="9" numFmtId="0" xfId="0" applyAlignment="1" applyBorder="1" applyFill="1" applyFont="1">
      <alignment horizontal="center" readingOrder="0" vertical="center"/>
    </xf>
    <xf borderId="17" fillId="17" fontId="9" numFmtId="0" xfId="0" applyAlignment="1" applyBorder="1" applyFill="1" applyFont="1">
      <alignment horizontal="center" readingOrder="0" vertical="center"/>
    </xf>
    <xf borderId="17" fillId="17" fontId="9" numFmtId="0" xfId="0" applyAlignment="1" applyBorder="1" applyFill="1" applyFont="1">
      <alignment horizontal="center" readingOrder="0" shrinkToFit="0" vertical="center" wrapText="1"/>
    </xf>
    <xf borderId="19" fillId="17" fontId="9" numFmtId="0" xfId="0" applyAlignment="1" applyBorder="1" applyFill="1" applyFont="1">
      <alignment horizontal="center" readingOrder="0" vertical="center"/>
    </xf>
    <xf borderId="17" fillId="12" fontId="9" numFmtId="0" xfId="0" applyAlignment="1" applyBorder="1" applyFill="1" applyFont="1">
      <alignment horizontal="center"/>
    </xf>
    <xf borderId="11" fillId="7" fontId="17" numFmtId="0" xfId="0" applyAlignment="1" applyBorder="1" applyFill="1" applyFont="1">
      <alignment horizontal="center" readingOrder="0" vertical="center"/>
    </xf>
    <xf borderId="17" fillId="12" fontId="2" numFmtId="0" xfId="0" applyAlignment="1" applyBorder="1" applyFill="1" applyFont="1">
      <alignment horizontal="center" shrinkToFit="0" wrapText="1"/>
    </xf>
    <xf borderId="12" fillId="7" fontId="17" numFmtId="0" xfId="0" applyAlignment="1" applyBorder="1" applyFill="1" applyFont="1">
      <alignment horizontal="center" readingOrder="0" vertical="center"/>
    </xf>
    <xf borderId="12" fillId="7" fontId="17" numFmtId="0" xfId="0" applyAlignment="1" applyBorder="1" applyFill="1" applyFont="1">
      <alignment horizontal="center" readingOrder="0" shrinkToFit="0" vertical="center" wrapText="1"/>
    </xf>
    <xf borderId="14" fillId="7" fontId="17" numFmtId="0" xfId="0" applyAlignment="1" applyBorder="1" applyFill="1" applyFont="1">
      <alignment horizontal="center" readingOrder="0" vertical="center"/>
    </xf>
    <xf borderId="11" fillId="18" fontId="22" numFmtId="0" xfId="0" applyAlignment="1" applyBorder="1" applyFill="1" applyFont="1">
      <alignment horizontal="center" readingOrder="0" vertical="center"/>
    </xf>
    <xf borderId="17" fillId="7" fontId="2" numFmtId="0" xfId="0" applyAlignment="1" applyBorder="1" applyFill="1" applyFont="1">
      <alignment horizontal="center"/>
    </xf>
    <xf borderId="12" fillId="18" fontId="22" numFmtId="0" xfId="0" applyAlignment="1" applyBorder="1" applyFill="1" applyFont="1">
      <alignment horizontal="center" readingOrder="0" vertical="center"/>
    </xf>
    <xf borderId="17" fillId="7" fontId="2" numFmtId="0" xfId="0" applyAlignment="1" applyBorder="1" applyFill="1" applyFont="1">
      <alignment horizontal="center" shrinkToFit="0" wrapText="1"/>
    </xf>
    <xf borderId="12" fillId="18" fontId="22" numFmtId="0" xfId="0" applyAlignment="1" applyBorder="1" applyFill="1" applyFont="1">
      <alignment horizontal="center" readingOrder="0" shrinkToFit="0" vertical="center" wrapText="1"/>
    </xf>
    <xf borderId="14" fillId="18" fontId="22" numFmtId="0" xfId="0" applyAlignment="1" applyBorder="1" applyFill="1" applyFont="1">
      <alignment horizontal="center" readingOrder="0" vertical="center"/>
    </xf>
    <xf borderId="16" fillId="18" fontId="22" numFmtId="0" xfId="0" applyAlignment="1" applyBorder="1" applyFill="1" applyFont="1">
      <alignment horizontal="center" readingOrder="0" vertical="center"/>
    </xf>
    <xf borderId="17" fillId="18" fontId="22" numFmtId="0" xfId="0" applyAlignment="1" applyBorder="1" applyFill="1" applyFont="1">
      <alignment horizontal="center" readingOrder="0" vertical="center"/>
    </xf>
    <xf borderId="17" fillId="18" fontId="22" numFmtId="0" xfId="0" applyAlignment="1" applyBorder="1" applyFill="1" applyFont="1">
      <alignment horizontal="center" readingOrder="0" shrinkToFit="0" vertical="center" wrapText="1"/>
    </xf>
    <xf borderId="19" fillId="18" fontId="22" numFmtId="0" xfId="0" applyAlignment="1" applyBorder="1" applyFill="1" applyFont="1">
      <alignment horizontal="center" readingOrder="0" vertical="center"/>
    </xf>
    <xf borderId="23" fillId="18" fontId="22" numFmtId="0" xfId="0" applyAlignment="1" applyBorder="1" applyFill="1" applyFont="1">
      <alignment horizontal="center" readingOrder="0" vertical="center"/>
    </xf>
    <xf borderId="38" fillId="0" fontId="10" numFmtId="0" xfId="0" applyAlignment="1" applyBorder="1" applyFont="1">
      <alignment horizontal="center" shrinkToFit="0" vertical="center" wrapText="1"/>
    </xf>
    <xf borderId="20" fillId="18" fontId="22" numFmtId="0" xfId="0" applyAlignment="1" applyBorder="1" applyFill="1" applyFont="1">
      <alignment horizontal="center" readingOrder="0" vertical="center"/>
    </xf>
    <xf borderId="20" fillId="18" fontId="22" numFmtId="0" xfId="0" applyAlignment="1" applyBorder="1" applyFill="1" applyFont="1">
      <alignment horizontal="center" readingOrder="0" shrinkToFit="0" vertical="center" wrapText="1"/>
    </xf>
    <xf borderId="21" fillId="18" fontId="22" numFmtId="0" xfId="0" applyAlignment="1" applyBorder="1" applyFill="1" applyFont="1">
      <alignment horizontal="center" readingOrder="0" vertical="center"/>
    </xf>
    <xf borderId="11" fillId="10" fontId="17" numFmtId="0" xfId="0" applyAlignment="1" applyBorder="1" applyFill="1" applyFont="1">
      <alignment horizontal="center" readingOrder="0" vertical="center"/>
    </xf>
    <xf borderId="12" fillId="10" fontId="17" numFmtId="0" xfId="0" applyAlignment="1" applyBorder="1" applyFill="1" applyFont="1">
      <alignment horizontal="center" readingOrder="0" vertical="center"/>
    </xf>
    <xf borderId="12" fillId="10" fontId="17" numFmtId="0" xfId="0" applyAlignment="1" applyBorder="1" applyFill="1" applyFont="1">
      <alignment horizontal="center" readingOrder="0" shrinkToFit="0" vertical="center" wrapText="1"/>
    </xf>
    <xf borderId="14" fillId="10" fontId="17" numFmtId="0" xfId="0" applyAlignment="1" applyBorder="1" applyFill="1" applyFont="1">
      <alignment horizontal="center" readingOrder="0" vertical="center"/>
    </xf>
    <xf borderId="16" fillId="10" fontId="17" numFmtId="0" xfId="0" applyAlignment="1" applyBorder="1" applyFill="1" applyFont="1">
      <alignment horizontal="center" readingOrder="0" vertical="center"/>
    </xf>
    <xf borderId="17" fillId="10" fontId="17" numFmtId="0" xfId="0" applyAlignment="1" applyBorder="1" applyFill="1" applyFont="1">
      <alignment horizontal="center" readingOrder="0" vertical="center"/>
    </xf>
    <xf borderId="17" fillId="10" fontId="17" numFmtId="0" xfId="0" applyAlignment="1" applyBorder="1" applyFill="1" applyFont="1">
      <alignment horizontal="center" readingOrder="0" shrinkToFit="0" vertical="center" wrapText="1"/>
    </xf>
    <xf borderId="19" fillId="10" fontId="17" numFmtId="0" xfId="0" applyAlignment="1" applyBorder="1" applyFill="1" applyFont="1">
      <alignment horizontal="center" readingOrder="0" vertical="center"/>
    </xf>
    <xf borderId="23" fillId="10" fontId="17" numFmtId="0" xfId="0" applyAlignment="1" applyBorder="1" applyFill="1" applyFont="1">
      <alignment horizontal="center" readingOrder="0" vertical="center"/>
    </xf>
    <xf borderId="13" fillId="0" fontId="10" numFmtId="0" xfId="0" applyAlignment="1" applyBorder="1" applyFont="1">
      <alignment horizontal="center" shrinkToFit="0" vertical="center" wrapText="1"/>
    </xf>
    <xf borderId="20" fillId="10" fontId="17" numFmtId="0" xfId="0" applyAlignment="1" applyBorder="1" applyFill="1" applyFont="1">
      <alignment horizontal="center" readingOrder="0" vertical="center"/>
    </xf>
    <xf borderId="20" fillId="10" fontId="17" numFmtId="0" xfId="0" applyAlignment="1" applyBorder="1" applyFill="1" applyFont="1">
      <alignment horizontal="center" readingOrder="0" shrinkToFit="0" vertical="center" wrapText="1"/>
    </xf>
    <xf borderId="21" fillId="10" fontId="17" numFmtId="0" xfId="0" applyAlignment="1" applyBorder="1" applyFill="1" applyFont="1">
      <alignment horizontal="center" readingOrder="0" vertical="center"/>
    </xf>
    <xf borderId="34" fillId="4" fontId="6" numFmtId="0" xfId="0" applyAlignment="1" applyBorder="1" applyFill="1" applyFont="1">
      <alignment horizontal="center"/>
    </xf>
    <xf borderId="30" fillId="10" fontId="17" numFmtId="0" xfId="0" applyAlignment="1" applyBorder="1" applyFill="1" applyFont="1">
      <alignment horizontal="center" readingOrder="0" vertical="center"/>
    </xf>
    <xf borderId="34" fillId="4" fontId="6" numFmtId="0" xfId="0" applyAlignment="1" applyBorder="1" applyFill="1" applyFont="1">
      <alignment horizontal="center" shrinkToFit="0" wrapText="1"/>
    </xf>
    <xf borderId="30" fillId="10" fontId="17" numFmtId="0" xfId="0" applyAlignment="1" applyBorder="1" applyFill="1" applyFont="1">
      <alignment horizontal="center" readingOrder="0" shrinkToFit="0" vertical="center" wrapText="1"/>
    </xf>
    <xf borderId="11" fillId="14" fontId="20" numFmtId="0" xfId="0" applyAlignment="1" applyBorder="1" applyFill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shrinkToFit="0" vertical="center" wrapText="1"/>
    </xf>
    <xf borderId="32" fillId="0" fontId="10" numFmtId="0" xfId="0" applyAlignment="1" applyBorder="1" applyFont="1">
      <alignment horizontal="center" shrinkToFit="0" vertical="center" wrapText="1"/>
    </xf>
    <xf borderId="14" fillId="14" fontId="20" numFmtId="0" xfId="0" applyAlignment="1" applyBorder="1" applyFill="1" applyFont="1">
      <alignment horizontal="center" readingOrder="0" vertical="center"/>
    </xf>
    <xf borderId="16" fillId="14" fontId="20" numFmtId="0" xfId="0" applyAlignment="1" applyBorder="1" applyFill="1" applyFont="1">
      <alignment horizontal="center" readingOrder="0" vertical="center"/>
    </xf>
    <xf borderId="17" fillId="14" fontId="20" numFmtId="0" xfId="0" applyAlignment="1" applyBorder="1" applyFill="1" applyFont="1">
      <alignment horizontal="center" readingOrder="0" vertical="center"/>
    </xf>
    <xf borderId="13" fillId="0" fontId="10" numFmtId="0" xfId="0" applyAlignment="1" applyBorder="1" applyFont="1">
      <alignment horizontal="center" shrinkToFit="0" vertical="center" wrapText="1"/>
    </xf>
    <xf borderId="17" fillId="14" fontId="20" numFmtId="0" xfId="0" applyAlignment="1" applyBorder="1" applyFill="1" applyFont="1">
      <alignment horizontal="center" readingOrder="0" shrinkToFit="0" vertical="center" wrapText="1"/>
    </xf>
    <xf borderId="19" fillId="14" fontId="20" numFmtId="0" xfId="0" applyAlignment="1" applyBorder="1" applyFill="1" applyFont="1">
      <alignment horizontal="center" readingOrder="0" vertical="center"/>
    </xf>
    <xf borderId="23" fillId="14" fontId="20" numFmtId="0" xfId="0" applyAlignment="1" applyBorder="1" applyFill="1" applyFont="1">
      <alignment horizontal="center" readingOrder="0" vertical="center"/>
    </xf>
    <xf borderId="20" fillId="14" fontId="20" numFmtId="0" xfId="0" applyAlignment="1" applyBorder="1" applyFill="1" applyFont="1">
      <alignment horizontal="center" readingOrder="0" vertical="center"/>
    </xf>
    <xf borderId="20" fillId="14" fontId="20" numFmtId="0" xfId="0" applyAlignment="1" applyBorder="1" applyFill="1" applyFont="1">
      <alignment horizontal="center" readingOrder="0" shrinkToFit="0" vertical="center" wrapText="1"/>
    </xf>
    <xf borderId="21" fillId="14" fontId="20" numFmtId="0" xfId="0" applyAlignment="1" applyBorder="1" applyFill="1" applyFont="1">
      <alignment horizontal="center" readingOrder="0" vertical="center"/>
    </xf>
    <xf borderId="41" fillId="0" fontId="10" numFmtId="0" xfId="0" applyAlignment="1" applyBorder="1" applyFont="1">
      <alignment horizontal="center" shrinkToFit="0" vertical="center" wrapText="1"/>
    </xf>
    <xf borderId="30" fillId="14" fontId="20" numFmtId="0" xfId="0" applyAlignment="1" applyBorder="1" applyFill="1" applyFont="1">
      <alignment horizontal="center" readingOrder="0" vertical="center"/>
    </xf>
    <xf borderId="30" fillId="14" fontId="20" numFmtId="0" xfId="0" applyAlignment="1" applyBorder="1" applyFill="1" applyFont="1">
      <alignment horizontal="center" readingOrder="0" shrinkToFit="0" vertical="center" wrapText="1"/>
    </xf>
    <xf borderId="11" fillId="13" fontId="19" numFmtId="0" xfId="0" applyAlignment="1" applyBorder="1" applyFill="1" applyFont="1">
      <alignment horizontal="center" readingOrder="0" vertical="center"/>
    </xf>
    <xf borderId="12" fillId="13" fontId="19" numFmtId="0" xfId="0" applyAlignment="1" applyBorder="1" applyFill="1" applyFont="1">
      <alignment horizontal="center" readingOrder="0" vertical="center"/>
    </xf>
    <xf borderId="12" fillId="13" fontId="19" numFmtId="0" xfId="0" applyAlignment="1" applyBorder="1" applyFill="1" applyFont="1">
      <alignment horizontal="center" readingOrder="0" shrinkToFit="0" vertical="center" wrapText="1"/>
    </xf>
    <xf borderId="14" fillId="13" fontId="19" numFmtId="0" xfId="0" applyAlignment="1" applyBorder="1" applyFill="1" applyFont="1">
      <alignment horizontal="center" readingOrder="0" vertical="center"/>
    </xf>
    <xf borderId="16" fillId="13" fontId="19" numFmtId="0" xfId="0" applyAlignment="1" applyBorder="1" applyFill="1" applyFont="1">
      <alignment horizontal="center" readingOrder="0" vertical="center"/>
    </xf>
    <xf borderId="17" fillId="13" fontId="19" numFmtId="0" xfId="0" applyAlignment="1" applyBorder="1" applyFill="1" applyFont="1">
      <alignment horizontal="center" readingOrder="0" vertical="center"/>
    </xf>
    <xf borderId="17" fillId="13" fontId="19" numFmtId="0" xfId="0" applyAlignment="1" applyBorder="1" applyFill="1" applyFont="1">
      <alignment horizontal="center" readingOrder="0" shrinkToFit="0" vertical="center" wrapText="1"/>
    </xf>
    <xf borderId="19" fillId="13" fontId="19" numFmtId="0" xfId="0" applyAlignment="1" applyBorder="1" applyFill="1" applyFont="1">
      <alignment horizontal="center" readingOrder="0" vertical="center"/>
    </xf>
    <xf borderId="34" fillId="14" fontId="20" numFmtId="0" xfId="0" applyAlignment="1" applyBorder="1" applyFill="1" applyFont="1">
      <alignment horizontal="center"/>
    </xf>
    <xf borderId="34" fillId="14" fontId="20" numFmtId="0" xfId="0" applyAlignment="1" applyBorder="1" applyFill="1" applyFont="1">
      <alignment horizontal="center" shrinkToFit="0" wrapText="1"/>
    </xf>
    <xf borderId="23" fillId="13" fontId="19" numFmtId="0" xfId="0" applyAlignment="1" applyBorder="1" applyFill="1" applyFont="1">
      <alignment horizontal="center" readingOrder="0" vertical="center"/>
    </xf>
    <xf borderId="20" fillId="13" fontId="19" numFmtId="0" xfId="0" applyAlignment="1" applyBorder="1" applyFill="1" applyFont="1">
      <alignment horizontal="center" readingOrder="0" vertical="center"/>
    </xf>
    <xf borderId="20" fillId="13" fontId="19" numFmtId="0" xfId="0" applyAlignment="1" applyBorder="1" applyFill="1" applyFont="1">
      <alignment horizontal="center" readingOrder="0" shrinkToFit="0" vertical="center" wrapText="1"/>
    </xf>
    <xf borderId="21" fillId="13" fontId="19" numFmtId="0" xfId="0" applyAlignment="1" applyBorder="1" applyFill="1" applyFont="1">
      <alignment horizontal="center" readingOrder="0" vertical="center"/>
    </xf>
    <xf borderId="30" fillId="13" fontId="19" numFmtId="0" xfId="0" applyAlignment="1" applyBorder="1" applyFill="1" applyFont="1">
      <alignment horizontal="center" readingOrder="0" vertical="center"/>
    </xf>
    <xf borderId="30" fillId="13" fontId="19" numFmtId="0" xfId="0" applyAlignment="1" applyBorder="1" applyFill="1" applyFont="1">
      <alignment horizontal="center" readingOrder="0" shrinkToFit="0" vertical="center" wrapText="1"/>
    </xf>
    <xf borderId="22" fillId="4" fontId="6" numFmtId="0" xfId="0" applyAlignment="1" applyBorder="1" applyFill="1" applyFont="1">
      <alignment horizontal="center"/>
    </xf>
    <xf borderId="22" fillId="4" fontId="6" numFmtId="0" xfId="0" applyAlignment="1" applyBorder="1" applyFill="1" applyFont="1">
      <alignment horizontal="center" shrinkToFit="0" wrapText="1"/>
    </xf>
    <xf borderId="34" fillId="18" fontId="22" numFmtId="0" xfId="0" applyAlignment="1" applyBorder="1" applyFill="1" applyFont="1">
      <alignment horizontal="center"/>
    </xf>
    <xf borderId="34" fillId="18" fontId="22" numFmtId="0" xfId="0" applyAlignment="1" applyBorder="1" applyFill="1" applyFont="1">
      <alignment horizontal="center" shrinkToFit="0" wrapText="1"/>
    </xf>
    <xf borderId="0" fillId="0" fontId="14" numFmtId="0" xfId="0" applyAlignment="1" applyFont="1">
      <alignment horizontal="center" vertical="center"/>
    </xf>
    <xf borderId="34" fillId="16" fontId="21" numFmtId="0" xfId="0" applyAlignment="1" applyBorder="1" applyFill="1" applyFont="1">
      <alignment horizontal="center"/>
    </xf>
    <xf borderId="34" fillId="16" fontId="21" numFmtId="0" xfId="0" applyAlignment="1" applyBorder="1" applyFill="1" applyFont="1">
      <alignment horizontal="center" shrinkToFit="0" wrapText="1"/>
    </xf>
    <xf borderId="22" fillId="18" fontId="22" numFmtId="0" xfId="0" applyAlignment="1" applyBorder="1" applyFill="1" applyFont="1">
      <alignment horizontal="center"/>
    </xf>
    <xf borderId="22" fillId="18" fontId="22" numFmtId="0" xfId="0" applyAlignment="1" applyBorder="1" applyFill="1" applyFont="1">
      <alignment horizontal="center" shrinkToFit="0" wrapText="1"/>
    </xf>
    <xf borderId="17" fillId="15" fontId="9" numFmtId="0" xfId="0" applyAlignment="1" applyBorder="1" applyFill="1" applyFont="1">
      <alignment horizontal="center"/>
    </xf>
    <xf borderId="17" fillId="15" fontId="9" numFmtId="0" xfId="0" applyAlignment="1" applyBorder="1" applyFill="1" applyFont="1">
      <alignment horizontal="center" shrinkToFit="0" wrapText="1"/>
    </xf>
    <xf borderId="47" fillId="17" fontId="9" numFmtId="0" xfId="0" applyAlignment="1" applyBorder="1" applyFill="1" applyFont="1">
      <alignment horizontal="center"/>
    </xf>
    <xf borderId="22" fillId="17" fontId="9" numFmtId="0" xfId="0" applyAlignment="1" applyBorder="1" applyFill="1" applyFont="1">
      <alignment horizontal="center"/>
    </xf>
    <xf borderId="22" fillId="17" fontId="9" numFmtId="0" xfId="0" applyAlignment="1" applyBorder="1" applyFill="1" applyFont="1">
      <alignment horizontal="center" shrinkToFit="0" wrapText="1"/>
    </xf>
    <xf borderId="38" fillId="17" fontId="9" numFmtId="0" xfId="0" applyAlignment="1" applyBorder="1" applyFill="1" applyFont="1">
      <alignment horizontal="center"/>
    </xf>
    <xf borderId="18" fillId="18" fontId="22" numFmtId="0" xfId="0" applyAlignment="1" applyBorder="1" applyFill="1" applyFont="1">
      <alignment horizontal="center"/>
    </xf>
    <xf borderId="17" fillId="18" fontId="22" numFmtId="0" xfId="0" applyAlignment="1" applyBorder="1" applyFill="1" applyFont="1">
      <alignment horizontal="center"/>
    </xf>
    <xf borderId="17" fillId="18" fontId="22" numFmtId="0" xfId="0" applyAlignment="1" applyBorder="1" applyFill="1" applyFont="1">
      <alignment horizontal="center" shrinkToFit="0" wrapText="1"/>
    </xf>
    <xf borderId="13" fillId="18" fontId="22" numFmtId="0" xfId="0" applyAlignment="1" applyBorder="1" applyFill="1" applyFont="1">
      <alignment horizontal="center"/>
    </xf>
    <xf borderId="18" fillId="6" fontId="9" numFmtId="0" xfId="0" applyAlignment="1" applyBorder="1" applyFill="1" applyFont="1">
      <alignment horizontal="center"/>
    </xf>
    <xf borderId="13" fillId="6" fontId="9" numFmtId="0" xfId="0" applyAlignment="1" applyBorder="1" applyFill="1" applyFont="1">
      <alignment horizontal="center"/>
    </xf>
    <xf borderId="48" fillId="14" fontId="20" numFmtId="0" xfId="0" applyAlignment="1" applyBorder="1" applyFill="1" applyFont="1">
      <alignment horizontal="center"/>
    </xf>
    <xf borderId="41" fillId="14" fontId="20" numFmtId="0" xfId="0" applyAlignment="1" applyBorder="1" applyFill="1" applyFont="1">
      <alignment horizontal="center"/>
    </xf>
    <xf borderId="47" fillId="4" fontId="6" numFmtId="0" xfId="0" applyAlignment="1" applyBorder="1" applyFill="1" applyFont="1">
      <alignment horizontal="center"/>
    </xf>
    <xf borderId="38" fillId="4" fontId="6" numFmtId="0" xfId="0" applyAlignment="1" applyBorder="1" applyFill="1" applyFont="1">
      <alignment horizontal="center"/>
    </xf>
    <xf borderId="18" fillId="16" fontId="21" numFmtId="0" xfId="0" applyAlignment="1" applyBorder="1" applyFill="1" applyFont="1">
      <alignment horizontal="center"/>
    </xf>
    <xf borderId="17" fillId="16" fontId="21" numFmtId="0" xfId="0" applyAlignment="1" applyBorder="1" applyFill="1" applyFont="1">
      <alignment horizontal="center"/>
    </xf>
    <xf borderId="17" fillId="16" fontId="21" numFmtId="0" xfId="0" applyAlignment="1" applyBorder="1" applyFill="1" applyFont="1">
      <alignment horizontal="center" shrinkToFit="0" wrapText="1"/>
    </xf>
    <xf borderId="13" fillId="16" fontId="21" numFmtId="0" xfId="0" applyAlignment="1" applyBorder="1" applyFill="1" applyFont="1">
      <alignment horizontal="center"/>
    </xf>
    <xf borderId="48" fillId="6" fontId="9" numFmtId="0" xfId="0" applyAlignment="1" applyBorder="1" applyFill="1" applyFont="1">
      <alignment horizontal="center"/>
    </xf>
    <xf borderId="34" fillId="6" fontId="9" numFmtId="0" xfId="0" applyAlignment="1" applyBorder="1" applyFill="1" applyFont="1">
      <alignment horizontal="center"/>
    </xf>
    <xf borderId="34" fillId="6" fontId="9" numFmtId="0" xfId="0" applyAlignment="1" applyBorder="1" applyFill="1" applyFont="1">
      <alignment horizontal="center" shrinkToFit="0" wrapText="1"/>
    </xf>
    <xf borderId="41" fillId="6" fontId="9" numFmtId="0" xfId="0" applyAlignment="1" applyBorder="1" applyFill="1" applyFont="1">
      <alignment horizontal="center"/>
    </xf>
    <xf borderId="49" fillId="0" fontId="9" numFmtId="0" xfId="0" applyAlignment="1" applyBorder="1" applyFont="1">
      <alignment horizontal="center" readingOrder="0" vertical="center"/>
    </xf>
    <xf borderId="24" fillId="0" fontId="23" numFmtId="0" xfId="0" applyAlignment="1" applyBorder="1" applyFont="1">
      <alignment vertical="bottom"/>
    </xf>
    <xf borderId="50" fillId="0" fontId="2" numFmtId="0" xfId="0" applyAlignment="1" applyBorder="1" applyFont="1">
      <alignment horizontal="center" readingOrder="0" shrinkToFit="0" vertical="center" wrapText="1"/>
    </xf>
    <xf borderId="31" fillId="0" fontId="9" numFmtId="0" xfId="0" applyAlignment="1" applyBorder="1" applyFont="1">
      <alignment horizontal="center" vertical="center"/>
    </xf>
    <xf borderId="22" fillId="11" fontId="18" numFmtId="0" xfId="0" applyAlignment="1" applyBorder="1" applyFill="1" applyFont="1">
      <alignment horizontal="center"/>
    </xf>
    <xf borderId="17" fillId="14" fontId="20" numFmtId="0" xfId="0" applyAlignment="1" applyBorder="1" applyFill="1" applyFont="1">
      <alignment horizontal="center"/>
    </xf>
    <xf borderId="17" fillId="6" fontId="9" numFmtId="0" xfId="0" applyAlignment="1" applyBorder="1" applyFill="1" applyFont="1">
      <alignment horizontal="center"/>
    </xf>
    <xf borderId="34" fillId="7" fontId="2" numFmtId="0" xfId="0" applyAlignment="1" applyBorder="1" applyFill="1" applyFont="1">
      <alignment horizontal="center"/>
    </xf>
    <xf borderId="34" fillId="7" fontId="2" numFmtId="0" xfId="0" applyAlignment="1" applyBorder="1" applyFill="1" applyFont="1">
      <alignment horizontal="center"/>
    </xf>
    <xf borderId="34" fillId="7" fontId="2" numFmtId="0" xfId="0" applyAlignment="1" applyBorder="1" applyFill="1" applyFont="1">
      <alignment horizontal="center" shrinkToFit="0" wrapText="1"/>
    </xf>
    <xf borderId="8" fillId="0" fontId="9" numFmtId="0" xfId="0" applyAlignment="1" applyBorder="1" applyFont="1">
      <alignment horizontal="center" vertical="center"/>
    </xf>
    <xf borderId="22" fillId="14" fontId="20" numFmtId="0" xfId="0" applyAlignment="1" applyBorder="1" applyFill="1" applyFont="1">
      <alignment horizontal="center"/>
    </xf>
    <xf borderId="22" fillId="14" fontId="20" numFmtId="0" xfId="0" applyAlignment="1" applyBorder="1" applyFill="1" applyFont="1">
      <alignment horizontal="center"/>
    </xf>
    <xf borderId="22" fillId="14" fontId="20" numFmtId="0" xfId="0" applyAlignment="1" applyBorder="1" applyFill="1" applyFont="1">
      <alignment horizontal="center" shrinkToFit="0" wrapText="1"/>
    </xf>
    <xf borderId="17" fillId="6" fontId="9" numFmtId="0" xfId="0" applyAlignment="1" applyBorder="1" applyFill="1" applyFont="1">
      <alignment horizontal="center" vertical="bottom"/>
    </xf>
    <xf borderId="17" fillId="7" fontId="2" numFmtId="0" xfId="0" applyAlignment="1" applyBorder="1" applyFill="1" applyFont="1">
      <alignment horizontal="center"/>
    </xf>
    <xf borderId="34" fillId="10" fontId="17" numFmtId="0" xfId="0" applyAlignment="1" applyBorder="1" applyFill="1" applyFont="1">
      <alignment horizontal="center"/>
    </xf>
    <xf borderId="0" fillId="0" fontId="24" numFmtId="0" xfId="0" applyAlignment="1" applyFont="1">
      <alignment horizontal="center" readingOrder="0" vertical="center"/>
    </xf>
    <xf borderId="24" fillId="8" fontId="1" numFmtId="0" xfId="0" applyAlignment="1" applyBorder="1" applyFill="1" applyFont="1">
      <alignment horizontal="center" readingOrder="0" vertical="center"/>
    </xf>
    <xf borderId="18" fillId="4" fontId="6" numFmtId="0" xfId="0" applyAlignment="1" applyBorder="1" applyFill="1" applyFont="1">
      <alignment horizontal="center"/>
    </xf>
    <xf borderId="17" fillId="4" fontId="6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 vertical="center"/>
    </xf>
    <xf borderId="17" fillId="4" fontId="6" numFmtId="0" xfId="0" applyAlignment="1" applyBorder="1" applyFill="1" applyFont="1">
      <alignment horizontal="center" shrinkToFit="0" wrapText="1"/>
    </xf>
    <xf borderId="13" fillId="4" fontId="6" numFmtId="0" xfId="0" applyAlignment="1" applyBorder="1" applyFill="1" applyFont="1">
      <alignment horizontal="center"/>
    </xf>
    <xf borderId="18" fillId="13" fontId="19" numFmtId="0" xfId="0" applyAlignment="1" applyBorder="1" applyFill="1" applyFont="1">
      <alignment horizontal="center"/>
    </xf>
    <xf borderId="13" fillId="13" fontId="19" numFmtId="0" xfId="0" applyAlignment="1" applyBorder="1" applyFill="1" applyFont="1">
      <alignment horizontal="center"/>
    </xf>
    <xf borderId="29" fillId="7" fontId="2" numFmtId="0" xfId="0" applyAlignment="1" applyBorder="1" applyFill="1" applyFont="1">
      <alignment horizontal="center"/>
    </xf>
    <xf borderId="51" fillId="7" fontId="2" numFmtId="0" xfId="0" applyAlignment="1" applyBorder="1" applyFill="1" applyFont="1">
      <alignment horizontal="center"/>
    </xf>
    <xf borderId="51" fillId="7" fontId="2" numFmtId="0" xfId="0" applyAlignment="1" applyBorder="1" applyFill="1" applyFont="1">
      <alignment horizontal="center" shrinkToFit="0" wrapText="1"/>
    </xf>
    <xf borderId="25" fillId="7" fontId="2" numFmtId="0" xfId="0" applyAlignment="1" applyBorder="1" applyFill="1" applyFont="1">
      <alignment horizontal="center"/>
    </xf>
    <xf borderId="32" fillId="0" fontId="10" numFmtId="0" xfId="0" applyAlignment="1" applyBorder="1" applyFont="1">
      <alignment horizontal="center" shrinkToFit="0" vertical="center" wrapText="1"/>
    </xf>
    <xf borderId="13" fillId="0" fontId="10" numFmtId="0" xfId="0" applyAlignment="1" applyBorder="1" applyFont="1">
      <alignment horizontal="center" shrinkToFit="0" vertical="center" wrapText="1"/>
    </xf>
    <xf borderId="47" fillId="11" fontId="18" numFmtId="0" xfId="0" applyAlignment="1" applyBorder="1" applyFill="1" applyFont="1">
      <alignment horizontal="center"/>
    </xf>
    <xf borderId="38" fillId="11" fontId="18" numFmtId="0" xfId="0" applyAlignment="1" applyBorder="1" applyFill="1" applyFont="1">
      <alignment horizontal="center"/>
    </xf>
    <xf borderId="18" fillId="14" fontId="20" numFmtId="0" xfId="0" applyAlignment="1" applyBorder="1" applyFill="1" applyFont="1">
      <alignment horizontal="center"/>
    </xf>
    <xf borderId="13" fillId="14" fontId="20" numFmtId="0" xfId="0" applyAlignment="1" applyBorder="1" applyFill="1" applyFont="1">
      <alignment horizontal="center"/>
    </xf>
    <xf borderId="29" fillId="12" fontId="9" numFmtId="0" xfId="0" applyAlignment="1" applyBorder="1" applyFill="1" applyFont="1">
      <alignment horizontal="center" readingOrder="0" vertical="center"/>
    </xf>
    <xf borderId="51" fillId="12" fontId="9" numFmtId="0" xfId="0" applyAlignment="1" applyBorder="1" applyFill="1" applyFont="1">
      <alignment horizontal="center" readingOrder="0" vertical="center"/>
    </xf>
    <xf borderId="51" fillId="12" fontId="2" numFmtId="0" xfId="0" applyAlignment="1" applyBorder="1" applyFill="1" applyFont="1">
      <alignment horizontal="center" readingOrder="0" shrinkToFit="0" vertical="center" wrapText="1"/>
    </xf>
    <xf borderId="25" fillId="12" fontId="9" numFmtId="0" xfId="0" applyAlignment="1" applyBorder="1" applyFill="1" applyFont="1">
      <alignment horizontal="center" readingOrder="0" vertical="center"/>
    </xf>
    <xf borderId="29" fillId="0" fontId="9" numFmtId="0" xfId="0" applyAlignment="1" applyBorder="1" applyFont="1">
      <alignment horizontal="center" readingOrder="0" vertical="center"/>
    </xf>
    <xf borderId="51" fillId="0" fontId="9" numFmtId="0" xfId="0" applyAlignment="1" applyBorder="1" applyFont="1">
      <alignment horizontal="center" readingOrder="0" vertical="center"/>
    </xf>
    <xf borderId="51" fillId="0" fontId="2" numFmtId="0" xfId="0" applyAlignment="1" applyBorder="1" applyFont="1">
      <alignment horizontal="center" readingOrder="0" shrinkToFit="0" vertical="center" wrapText="1"/>
    </xf>
    <xf borderId="25" fillId="0" fontId="9" numFmtId="0" xfId="0" applyAlignment="1" applyBorder="1" applyFont="1">
      <alignment horizontal="center" readingOrder="0" vertical="center"/>
    </xf>
    <xf borderId="47" fillId="11" fontId="18" numFmtId="0" xfId="0" applyAlignment="1" applyBorder="1" applyFill="1" applyFont="1">
      <alignment horizontal="center" readingOrder="0" vertical="center"/>
    </xf>
    <xf borderId="22" fillId="11" fontId="18" numFmtId="0" xfId="0" applyAlignment="1" applyBorder="1" applyFill="1" applyFont="1">
      <alignment horizontal="center" readingOrder="0" vertical="center"/>
    </xf>
    <xf borderId="22" fillId="11" fontId="18" numFmtId="0" xfId="0" applyAlignment="1" applyBorder="1" applyFill="1" applyFont="1">
      <alignment horizontal="center" readingOrder="0" shrinkToFit="0" vertical="center" wrapText="1"/>
    </xf>
    <xf borderId="38" fillId="11" fontId="18" numFmtId="0" xfId="0" applyAlignment="1" applyBorder="1" applyFill="1" applyFont="1">
      <alignment horizontal="center" readingOrder="0" vertical="center"/>
    </xf>
    <xf borderId="8" fillId="0" fontId="25" numFmtId="0" xfId="0" applyAlignment="1" applyBorder="1" applyFont="1">
      <alignment horizontal="center" readingOrder="0" shrinkToFit="0" vertical="center" wrapText="1"/>
    </xf>
    <xf borderId="18" fillId="7" fontId="2" numFmtId="0" xfId="0" applyAlignment="1" applyBorder="1" applyFill="1" applyFont="1">
      <alignment horizontal="center" readingOrder="0" vertical="center"/>
    </xf>
    <xf borderId="13" fillId="7" fontId="2" numFmtId="0" xfId="0" applyAlignment="1" applyBorder="1" applyFill="1" applyFont="1">
      <alignment horizontal="center" readingOrder="0" vertical="center"/>
    </xf>
    <xf borderId="48" fillId="0" fontId="23" numFmtId="0" xfId="0" applyAlignment="1" applyBorder="1" applyFont="1">
      <alignment vertical="bottom"/>
    </xf>
    <xf borderId="34" fillId="0" fontId="23" numFmtId="0" xfId="0" applyAlignment="1" applyBorder="1" applyFont="1">
      <alignment vertical="bottom"/>
    </xf>
    <xf borderId="41" fillId="0" fontId="23" numFmtId="0" xfId="0" applyAlignment="1" applyBorder="1" applyFont="1">
      <alignment vertical="bottom"/>
    </xf>
    <xf borderId="31" fillId="0" fontId="9" numFmtId="0" xfId="0" applyAlignment="1" applyBorder="1" applyFont="1">
      <alignment horizontal="center" vertical="center"/>
    </xf>
    <xf borderId="30" fillId="0" fontId="23" numFmtId="0" xfId="0" applyAlignment="1" applyBorder="1" applyFont="1">
      <alignment vertical="bottom"/>
    </xf>
    <xf borderId="36" fillId="0" fontId="23" numFmtId="0" xfId="0" applyAlignment="1" applyBorder="1" applyFont="1">
      <alignment vertical="bottom"/>
    </xf>
    <xf borderId="8" fillId="0" fontId="13" numFmtId="0" xfId="0" applyAlignment="1" applyBorder="1" applyFont="1">
      <alignment horizontal="center" vertical="center"/>
    </xf>
    <xf borderId="17" fillId="0" fontId="23" numFmtId="0" xfId="0" applyAlignment="1" applyBorder="1" applyFont="1">
      <alignment vertical="bottom"/>
    </xf>
    <xf borderId="13" fillId="0" fontId="23" numFmtId="0" xfId="0" applyAlignment="1" applyBorder="1" applyFont="1">
      <alignment vertical="bottom"/>
    </xf>
    <xf borderId="34" fillId="17" fontId="9" numFmtId="0" xfId="0" applyAlignment="1" applyBorder="1" applyFill="1" applyFont="1">
      <alignment horizontal="center"/>
    </xf>
    <xf borderId="34" fillId="17" fontId="9" numFmtId="0" xfId="0" applyAlignment="1" applyBorder="1" applyFill="1" applyFont="1">
      <alignment horizontal="center" shrinkToFit="0" wrapText="1"/>
    </xf>
    <xf borderId="22" fillId="16" fontId="21" numFmtId="0" xfId="0" applyAlignment="1" applyBorder="1" applyFill="1" applyFont="1">
      <alignment horizontal="center"/>
    </xf>
    <xf borderId="22" fillId="16" fontId="21" numFmtId="0" xfId="0" applyAlignment="1" applyBorder="1" applyFill="1" applyFont="1">
      <alignment horizontal="center" shrinkToFit="0" wrapText="1"/>
    </xf>
    <xf borderId="24" fillId="8" fontId="7" numFmtId="0" xfId="0" applyAlignment="1" applyBorder="1" applyFill="1" applyFont="1">
      <alignment horizontal="center" readingOrder="0" vertical="center"/>
    </xf>
    <xf borderId="28" fillId="0" fontId="10" numFmtId="0" xfId="0" applyAlignment="1" applyBorder="1" applyFont="1">
      <alignment horizontal="center" shrinkToFit="0" vertical="center" wrapText="1"/>
    </xf>
    <xf borderId="38" fillId="0" fontId="10" numFmtId="0" xfId="0" applyAlignment="1" applyBorder="1" applyFont="1">
      <alignment horizontal="center" shrinkToFit="0" vertical="center" wrapText="1"/>
    </xf>
    <xf borderId="22" fillId="0" fontId="26" numFmtId="0" xfId="0" applyAlignment="1" applyBorder="1" applyFont="1">
      <alignment horizontal="center" readingOrder="0" vertical="center"/>
    </xf>
    <xf borderId="34" fillId="14" fontId="23" numFmtId="0" xfId="0" applyBorder="1" applyFill="1" applyFont="1"/>
    <xf borderId="52" fillId="0" fontId="9" numFmtId="0" xfId="0" applyAlignment="1" applyBorder="1" applyFont="1">
      <alignment horizontal="center" readingOrder="0" vertical="center"/>
    </xf>
    <xf borderId="53" fillId="0" fontId="13" numFmtId="0" xfId="0" applyAlignment="1" applyBorder="1" applyFont="1">
      <alignment horizontal="center" readingOrder="0" vertical="center"/>
    </xf>
    <xf borderId="17" fillId="0" fontId="26" numFmtId="0" xfId="0" applyAlignment="1" applyBorder="1" applyFont="1">
      <alignment horizontal="center" readingOrder="0" vertical="center"/>
    </xf>
    <xf borderId="40" fillId="0" fontId="3" numFmtId="0" xfId="0" applyBorder="1" applyFont="1"/>
    <xf borderId="54" fillId="0" fontId="3" numFmtId="0" xfId="0" applyBorder="1" applyFont="1"/>
    <xf borderId="35" fillId="0" fontId="10" numFmtId="0" xfId="0" applyAlignment="1" applyBorder="1" applyFont="1">
      <alignment horizontal="center" vertical="center"/>
    </xf>
    <xf borderId="41" fillId="0" fontId="10" numFmtId="0" xfId="0" applyAlignment="1" applyBorder="1" applyFont="1">
      <alignment horizontal="center" vertical="center"/>
    </xf>
    <xf borderId="17" fillId="7" fontId="17" numFmtId="0" xfId="0" applyAlignment="1" applyBorder="1" applyFill="1" applyFont="1">
      <alignment horizontal="center"/>
    </xf>
    <xf borderId="34" fillId="0" fontId="26" numFmtId="0" xfId="0" applyAlignment="1" applyBorder="1" applyFont="1">
      <alignment horizontal="center" readingOrder="0" vertical="center"/>
    </xf>
    <xf borderId="17" fillId="7" fontId="17" numFmtId="0" xfId="0" applyAlignment="1" applyBorder="1" applyFill="1" applyFont="1">
      <alignment horizontal="center" shrinkToFit="0" wrapText="1"/>
    </xf>
    <xf borderId="55" fillId="0" fontId="3" numFmtId="0" xfId="0" applyBorder="1" applyFont="1"/>
    <xf borderId="56" fillId="0" fontId="3" numFmtId="0" xfId="0" applyBorder="1" applyFont="1"/>
    <xf borderId="22" fillId="7" fontId="18" numFmtId="0" xfId="0" applyAlignment="1" applyBorder="1" applyFill="1" applyFont="1">
      <alignment horizontal="center"/>
    </xf>
    <xf borderId="22" fillId="7" fontId="18" numFmtId="0" xfId="0" applyAlignment="1" applyBorder="1" applyFill="1" applyFont="1">
      <alignment horizontal="center" shrinkToFit="0" wrapText="1"/>
    </xf>
    <xf borderId="34" fillId="0" fontId="27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horizontal="center"/>
    </xf>
    <xf borderId="17" fillId="0" fontId="6" numFmtId="0" xfId="0" applyAlignment="1" applyBorder="1" applyFont="1">
      <alignment horizontal="center" shrinkToFit="0" wrapText="1"/>
    </xf>
    <xf borderId="34" fillId="0" fontId="23" numFmtId="0" xfId="0" applyBorder="1" applyFont="1"/>
    <xf borderId="0" fillId="0" fontId="23" numFmtId="0" xfId="0" applyAlignment="1" applyFon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28" numFmtId="0" xfId="0" applyAlignment="1" applyFont="1">
      <alignment horizontal="center" vertical="center"/>
    </xf>
    <xf borderId="0" fillId="3" fontId="4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horizontal="center" vertical="center"/>
    </xf>
    <xf borderId="57" fillId="0" fontId="29" numFmtId="0" xfId="0" applyAlignment="1" applyBorder="1" applyFont="1">
      <alignment horizontal="center" vertical="bottom"/>
    </xf>
    <xf borderId="58" fillId="0" fontId="3" numFmtId="0" xfId="0" applyBorder="1" applyFont="1"/>
    <xf borderId="0" fillId="0" fontId="30" numFmtId="0" xfId="0" applyAlignment="1" applyFont="1">
      <alignment horizontal="center" readingOrder="0" vertical="center"/>
    </xf>
    <xf borderId="32" fillId="0" fontId="23" numFmtId="0" xfId="0" applyAlignment="1" applyBorder="1" applyFont="1">
      <alignment horizontal="center" vertical="bottom"/>
    </xf>
    <xf borderId="59" fillId="0" fontId="23" numFmtId="0" xfId="0" applyAlignment="1" applyBorder="1" applyFont="1">
      <alignment horizontal="center" vertical="bottom"/>
    </xf>
    <xf borderId="0" fillId="0" fontId="31" numFmtId="0" xfId="0" applyAlignment="1" applyFont="1">
      <alignment horizontal="center" readingOrder="0"/>
    </xf>
    <xf borderId="0" fillId="7" fontId="25" numFmtId="0" xfId="0" applyAlignment="1" applyFill="1" applyFont="1">
      <alignment horizontal="center" readingOrder="0" shrinkToFit="0" vertical="center" wrapText="1"/>
    </xf>
    <xf borderId="0" fillId="0" fontId="31" numFmtId="0" xfId="0" applyAlignment="1" applyFont="1">
      <alignment horizontal="center" readingOrder="0" vertical="center"/>
    </xf>
    <xf borderId="32" fillId="0" fontId="23" numFmtId="0" xfId="0" applyAlignment="1" applyBorder="1" applyFont="1">
      <alignment horizontal="center" readingOrder="0" vertical="bottom"/>
    </xf>
    <xf borderId="59" fillId="0" fontId="23" numFmtId="0" xfId="0" applyAlignment="1" applyBorder="1" applyFont="1">
      <alignment horizontal="center" vertical="bottom"/>
    </xf>
    <xf borderId="32" fillId="0" fontId="23" numFmtId="0" xfId="0" applyAlignment="1" applyBorder="1" applyFont="1">
      <alignment horizontal="center" vertical="bottom"/>
    </xf>
    <xf borderId="35" fillId="0" fontId="23" numFmtId="0" xfId="0" applyAlignment="1" applyBorder="1" applyFont="1">
      <alignment horizontal="center" vertical="bottom"/>
    </xf>
    <xf borderId="60" fillId="0" fontId="23" numFmtId="0" xfId="0" applyAlignment="1" applyBorder="1" applyFont="1">
      <alignment horizontal="center" vertical="bottom"/>
    </xf>
    <xf borderId="0" fillId="0" fontId="31" numFmtId="0" xfId="0" applyAlignment="1" applyFont="1">
      <alignment horizontal="center" vertical="center"/>
    </xf>
    <xf borderId="47" fillId="0" fontId="10" numFmtId="0" xfId="0" applyAlignment="1" applyBorder="1" applyFont="1">
      <alignment horizontal="center" readingOrder="0" vertical="center"/>
    </xf>
    <xf borderId="18" fillId="0" fontId="10" numFmtId="0" xfId="0" applyAlignment="1" applyBorder="1" applyFont="1">
      <alignment horizontal="center" readingOrder="0" vertical="center"/>
    </xf>
    <xf borderId="17" fillId="0" fontId="4" numFmtId="0" xfId="0" applyAlignment="1" applyBorder="1" applyFont="1">
      <alignment horizontal="center" vertical="center"/>
    </xf>
    <xf borderId="17" fillId="0" fontId="10" numFmtId="0" xfId="0" applyAlignment="1" applyBorder="1" applyFont="1">
      <alignment horizontal="center" shrinkToFit="0" vertical="center" wrapText="1"/>
    </xf>
    <xf borderId="48" fillId="0" fontId="10" numFmtId="0" xfId="0" applyAlignment="1" applyBorder="1" applyFont="1">
      <alignment horizontal="center" readingOrder="0" vertical="center"/>
    </xf>
    <xf borderId="32" fillId="0" fontId="10" numFmtId="0" xfId="0" applyAlignment="1" applyBorder="1" applyFont="1">
      <alignment horizontal="center" readingOrder="0" shrinkToFit="0" vertical="center" wrapText="1"/>
    </xf>
    <xf borderId="32" fillId="0" fontId="10" numFmtId="0" xfId="0" applyAlignment="1" applyBorder="1" applyFont="1">
      <alignment horizontal="center" readingOrder="0" shrinkToFit="0" vertical="center" wrapText="1"/>
    </xf>
    <xf borderId="13" fillId="0" fontId="10" numFmtId="0" xfId="0" applyAlignment="1" applyBorder="1" applyFont="1">
      <alignment horizontal="center" readingOrder="0" shrinkToFit="0" vertical="center" wrapText="1"/>
    </xf>
    <xf borderId="27" fillId="0" fontId="26" numFmtId="0" xfId="0" applyAlignment="1" applyBorder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1"/>
    </xf>
    <xf borderId="27" fillId="8" fontId="7" numFmtId="0" xfId="0" applyAlignment="1" applyBorder="1" applyFill="1" applyFont="1">
      <alignment horizontal="center" shrinkToFit="0" vertical="center" wrapText="1"/>
    </xf>
    <xf borderId="17" fillId="0" fontId="4" numFmtId="0" xfId="0" applyAlignment="1" applyBorder="1" applyFont="1">
      <alignment horizontal="center" readingOrder="0" vertical="center"/>
    </xf>
    <xf borderId="0" fillId="8" fontId="3" numFmtId="0" xfId="0" applyFill="1" applyFont="1"/>
    <xf borderId="22" fillId="0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readingOrder="0" shrinkToFit="0" vertical="center" wrapText="1"/>
    </xf>
    <xf borderId="34" fillId="0" fontId="1" numFmtId="0" xfId="0" applyAlignment="1" applyBorder="1" applyFont="1">
      <alignment horizontal="center" readingOrder="0" vertical="center"/>
    </xf>
    <xf borderId="61" fillId="3" fontId="32" numFmtId="0" xfId="0" applyAlignment="1" applyBorder="1" applyFill="1" applyFont="1">
      <alignment horizontal="center" readingOrder="0" vertical="center"/>
    </xf>
    <xf borderId="62" fillId="0" fontId="3" numFmtId="0" xfId="0" applyBorder="1" applyFont="1"/>
    <xf borderId="61" fillId="5" fontId="33" numFmtId="0" xfId="0" applyAlignment="1" applyBorder="1" applyFill="1" applyFont="1">
      <alignment horizontal="center" readingOrder="0" shrinkToFit="0" vertical="center" wrapText="1"/>
    </xf>
    <xf borderId="63" fillId="0" fontId="3" numFmtId="0" xfId="0" applyBorder="1" applyFont="1"/>
    <xf borderId="17" fillId="0" fontId="7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32" fillId="2" fontId="9" numFmtId="0" xfId="0" applyAlignment="1" applyBorder="1" applyFill="1" applyFont="1">
      <alignment horizontal="center" vertical="center"/>
    </xf>
    <xf borderId="17" fillId="2" fontId="9" numFmtId="0" xfId="0" applyAlignment="1" applyBorder="1" applyFill="1" applyFont="1">
      <alignment horizontal="center" vertical="center"/>
    </xf>
    <xf borderId="59" fillId="2" fontId="9" numFmtId="0" xfId="0" applyAlignment="1" applyBorder="1" applyFill="1" applyFont="1">
      <alignment horizontal="center" vertical="center"/>
    </xf>
    <xf borderId="36" fillId="0" fontId="29" numFmtId="0" xfId="0" applyAlignment="1" applyBorder="1" applyFont="1">
      <alignment horizontal="center" readingOrder="0" vertical="center"/>
    </xf>
    <xf borderId="32" fillId="5" fontId="13" numFmtId="0" xfId="0" applyAlignment="1" applyBorder="1" applyFill="1" applyFont="1">
      <alignment horizontal="center" vertical="center"/>
    </xf>
    <xf borderId="17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readingOrder="0" vertical="center"/>
    </xf>
    <xf borderId="0" fillId="8" fontId="14" numFmtId="0" xfId="0" applyFill="1" applyFont="1"/>
    <xf borderId="32" fillId="5" fontId="2" numFmtId="0" xfId="0" applyAlignment="1" applyBorder="1" applyFill="1" applyFont="1">
      <alignment horizontal="center" readingOrder="0" vertical="center"/>
    </xf>
    <xf borderId="17" fillId="0" fontId="2" numFmtId="0" xfId="0" applyAlignment="1" applyBorder="1" applyFont="1">
      <alignment horizontal="center" readingOrder="0" vertical="center"/>
    </xf>
    <xf borderId="13" fillId="0" fontId="29" numFmtId="0" xfId="0" applyAlignment="1" applyBorder="1" applyFont="1">
      <alignment horizontal="center" readingOrder="0" vertical="center"/>
    </xf>
    <xf borderId="32" fillId="5" fontId="13" numFmtId="0" xfId="0" applyAlignment="1" applyBorder="1" applyFill="1" applyFont="1">
      <alignment horizontal="center" vertical="center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32" fillId="5" fontId="2" numFmtId="0" xfId="0" applyAlignment="1" applyBorder="1" applyFill="1" applyFont="1">
      <alignment horizontal="center" vertical="center"/>
    </xf>
    <xf borderId="64" fillId="5" fontId="33" numFmtId="0" xfId="0" applyAlignment="1" applyBorder="1" applyFill="1" applyFont="1">
      <alignment horizontal="center" readingOrder="0" shrinkToFit="0" vertical="center" wrapText="1"/>
    </xf>
    <xf borderId="65" fillId="0" fontId="3" numFmtId="0" xfId="0" applyBorder="1" applyFont="1"/>
    <xf borderId="0" fillId="0" fontId="33" numFmtId="0" xfId="0" applyAlignment="1" applyFont="1">
      <alignment horizontal="center" shrinkToFit="0" vertical="center" wrapText="1"/>
    </xf>
    <xf borderId="64" fillId="0" fontId="3" numFmtId="0" xfId="0" applyBorder="1" applyFont="1"/>
    <xf borderId="49" fillId="0" fontId="3" numFmtId="0" xfId="0" applyBorder="1" applyFont="1"/>
    <xf borderId="66" fillId="0" fontId="3" numFmtId="0" xfId="0" applyBorder="1" applyFont="1"/>
    <xf borderId="50" fillId="0" fontId="3" numFmtId="0" xfId="0" applyBorder="1" applyFont="1"/>
    <xf borderId="17" fillId="0" fontId="3" numFmtId="0" xfId="0" applyAlignment="1" applyBorder="1" applyFont="1">
      <alignment horizontal="center"/>
    </xf>
    <xf borderId="59" fillId="0" fontId="3" numFmtId="0" xfId="0" applyAlignment="1" applyBorder="1" applyFont="1">
      <alignment horizontal="center"/>
    </xf>
    <xf borderId="0" fillId="0" fontId="9" numFmtId="0" xfId="0" applyAlignment="1" applyFont="1">
      <alignment horizontal="center" vertical="center"/>
    </xf>
    <xf borderId="32" fillId="5" fontId="13" numFmtId="0" xfId="0" applyAlignment="1" applyBorder="1" applyFill="1" applyFont="1">
      <alignment horizontal="center" vertical="center"/>
    </xf>
    <xf borderId="0" fillId="0" fontId="23" numFmtId="0" xfId="0" applyAlignment="1" applyFont="1">
      <alignment horizontal="center" readingOrder="0" vertical="center"/>
    </xf>
    <xf borderId="67" fillId="5" fontId="13" numFmtId="0" xfId="0" applyAlignment="1" applyBorder="1" applyFill="1" applyFont="1">
      <alignment horizontal="center" vertical="center"/>
    </xf>
    <xf borderId="32" fillId="5" fontId="14" numFmtId="0" xfId="0" applyAlignment="1" applyBorder="1" applyFill="1" applyFont="1">
      <alignment horizontal="center"/>
    </xf>
    <xf borderId="64" fillId="5" fontId="33" numFmtId="0" xfId="0" applyAlignment="1" applyBorder="1" applyFill="1" applyFont="1">
      <alignment horizontal="center" shrinkToFit="0" vertical="center" wrapText="1"/>
    </xf>
    <xf borderId="0" fillId="5" fontId="33" numFmtId="0" xfId="0" applyAlignment="1" applyFill="1" applyFont="1">
      <alignment horizontal="center" shrinkToFit="0" vertical="center" wrapText="1"/>
    </xf>
    <xf borderId="0" fillId="2" fontId="9" numFmtId="0" xfId="0" applyAlignment="1" applyFill="1" applyFont="1">
      <alignment horizontal="center" vertical="center"/>
    </xf>
    <xf borderId="59" fillId="0" fontId="23" numFmtId="0" xfId="0" applyAlignment="1" applyBorder="1" applyFon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17" fillId="0" fontId="19" numFmtId="0" xfId="0" applyAlignment="1" applyBorder="1" applyFont="1">
      <alignment horizontal="center" readingOrder="0" vertical="center"/>
    </xf>
    <xf borderId="17" fillId="0" fontId="9" numFmtId="0" xfId="0" applyAlignment="1" applyBorder="1" applyFont="1">
      <alignment horizontal="center" readingOrder="0" vertical="center"/>
    </xf>
    <xf borderId="17" fillId="0" fontId="17" numFmtId="0" xfId="0" applyAlignment="1" applyBorder="1" applyFont="1">
      <alignment horizontal="center" readingOrder="0" vertical="center"/>
    </xf>
    <xf borderId="17" fillId="0" fontId="29" numFmtId="0" xfId="0" applyAlignment="1" applyBorder="1" applyFont="1">
      <alignment horizontal="center" readingOrder="0" vertical="center"/>
    </xf>
    <xf borderId="17" fillId="0" fontId="18" numFmtId="0" xfId="0" applyAlignment="1" applyBorder="1" applyFont="1">
      <alignment horizontal="center" readingOrder="0" vertical="center"/>
    </xf>
    <xf borderId="0" fillId="8" fontId="23" numFmtId="0" xfId="0" applyAlignment="1" applyFill="1" applyFont="1">
      <alignment horizontal="center" vertical="center"/>
    </xf>
    <xf borderId="68" fillId="0" fontId="23" numFmtId="0" xfId="0" applyAlignment="1" applyBorder="1" applyFont="1">
      <alignment horizontal="center" readingOrder="0" vertical="center"/>
    </xf>
    <xf borderId="61" fillId="5" fontId="33" numFmtId="0" xfId="0" applyAlignment="1" applyBorder="1" applyFill="1" applyFont="1">
      <alignment horizontal="center" shrinkToFit="0" vertical="center" wrapText="1"/>
    </xf>
    <xf borderId="0" fillId="8" fontId="23" numFmtId="0" xfId="0" applyAlignment="1" applyFill="1" applyFont="1">
      <alignment horizontal="center" vertical="center"/>
    </xf>
    <xf borderId="69" fillId="2" fontId="9" numFmtId="0" xfId="0" applyAlignment="1" applyBorder="1" applyFill="1" applyFont="1">
      <alignment horizontal="center" vertical="center"/>
    </xf>
    <xf borderId="30" fillId="2" fontId="9" numFmtId="0" xfId="0" applyAlignment="1" applyBorder="1" applyFill="1" applyFont="1">
      <alignment horizontal="center" vertical="center"/>
    </xf>
    <xf borderId="70" fillId="2" fontId="9" numFmtId="0" xfId="0" applyAlignment="1" applyBorder="1" applyFill="1" applyFont="1">
      <alignment horizontal="center" vertical="center"/>
    </xf>
    <xf borderId="59" fillId="0" fontId="34" numFmtId="0" xfId="0" applyAlignment="1" applyBorder="1" applyFont="1">
      <alignment horizontal="center" readingOrder="0" vertical="center"/>
    </xf>
    <xf borderId="35" fillId="5" fontId="13" numFmtId="0" xfId="0" applyAlignment="1" applyBorder="1" applyFill="1" applyFont="1">
      <alignment horizontal="center" vertical="center"/>
    </xf>
    <xf borderId="60" fillId="0" fontId="34" numFmtId="0" xfId="0" applyAlignment="1" applyBorder="1" applyFont="1">
      <alignment horizontal="center" readingOrder="0" vertical="center"/>
    </xf>
    <xf borderId="0" fillId="0" fontId="29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1123950</xdr:colOff>
      <xdr:row>0</xdr:row>
      <xdr:rowOff>85725</xdr:rowOff>
    </xdr:from>
    <xdr:ext cx="1285875" cy="10382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0</xdr:row>
      <xdr:rowOff>123825</xdr:rowOff>
    </xdr:from>
    <xdr:ext cx="1038225" cy="9715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552450</xdr:colOff>
      <xdr:row>0</xdr:row>
      <xdr:rowOff>171450</xdr:rowOff>
    </xdr:from>
    <xdr:ext cx="1285875" cy="10382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504825</xdr:colOff>
      <xdr:row>0</xdr:row>
      <xdr:rowOff>95250</xdr:rowOff>
    </xdr:from>
    <xdr:ext cx="1038225" cy="9715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1600200</xdr:colOff>
      <xdr:row>0</xdr:row>
      <xdr:rowOff>95250</xdr:rowOff>
    </xdr:from>
    <xdr:ext cx="1285875" cy="10382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0</xdr:row>
      <xdr:rowOff>123825</xdr:rowOff>
    </xdr:from>
    <xdr:ext cx="1038225" cy="9715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38"/>
    <col customWidth="1" min="2" max="2" width="9.88"/>
    <col customWidth="1" min="3" max="3" width="24.75"/>
    <col customWidth="1" min="4" max="4" width="10.13"/>
  </cols>
  <sheetData>
    <row r="1" ht="96.75" customHeight="1">
      <c r="A1" s="3" t="s">
        <v>2</v>
      </c>
      <c r="D1" s="5"/>
    </row>
    <row r="2">
      <c r="A2" s="9" t="s">
        <v>6</v>
      </c>
      <c r="B2" s="9" t="s">
        <v>7</v>
      </c>
      <c r="C2" s="9" t="s">
        <v>8</v>
      </c>
      <c r="D2" s="13" t="s">
        <v>9</v>
      </c>
    </row>
    <row r="3">
      <c r="A3" s="15" t="s">
        <v>10</v>
      </c>
      <c r="B3" s="17">
        <v>11.0</v>
      </c>
      <c r="C3" s="18" t="s">
        <v>12</v>
      </c>
      <c r="D3" s="20" t="s">
        <v>13</v>
      </c>
    </row>
    <row r="4">
      <c r="A4" s="22" t="s">
        <v>14</v>
      </c>
      <c r="B4" s="23">
        <v>11.0</v>
      </c>
      <c r="C4" s="25" t="s">
        <v>12</v>
      </c>
      <c r="D4" s="27" t="s">
        <v>13</v>
      </c>
    </row>
    <row r="5">
      <c r="A5" s="22" t="s">
        <v>15</v>
      </c>
      <c r="B5" s="23">
        <v>12.0</v>
      </c>
      <c r="C5" s="25" t="s">
        <v>12</v>
      </c>
      <c r="D5" s="27" t="s">
        <v>13</v>
      </c>
    </row>
    <row r="6">
      <c r="A6" s="22" t="s">
        <v>16</v>
      </c>
      <c r="B6" s="23">
        <v>12.0</v>
      </c>
      <c r="C6" s="25" t="s">
        <v>12</v>
      </c>
      <c r="D6" s="27" t="s">
        <v>13</v>
      </c>
    </row>
    <row r="7">
      <c r="A7" s="22" t="s">
        <v>17</v>
      </c>
      <c r="B7" s="23">
        <v>12.0</v>
      </c>
      <c r="C7" s="25" t="s">
        <v>12</v>
      </c>
      <c r="D7" s="27" t="s">
        <v>13</v>
      </c>
    </row>
    <row r="8">
      <c r="A8" s="22" t="s">
        <v>18</v>
      </c>
      <c r="B8" s="23">
        <v>9.0</v>
      </c>
      <c r="C8" s="31" t="s">
        <v>12</v>
      </c>
      <c r="D8" s="33" t="s">
        <v>19</v>
      </c>
    </row>
    <row r="9">
      <c r="A9" s="35" t="s">
        <v>20</v>
      </c>
      <c r="B9" s="36">
        <v>12.0</v>
      </c>
      <c r="C9" s="38" t="s">
        <v>22</v>
      </c>
      <c r="D9" s="39" t="s">
        <v>13</v>
      </c>
    </row>
    <row r="10">
      <c r="A10" s="40" t="s">
        <v>23</v>
      </c>
      <c r="B10" s="41">
        <v>11.0</v>
      </c>
      <c r="C10" s="43" t="s">
        <v>22</v>
      </c>
      <c r="D10" s="44" t="s">
        <v>13</v>
      </c>
    </row>
    <row r="11">
      <c r="A11" s="40" t="s">
        <v>28</v>
      </c>
      <c r="B11" s="41">
        <v>11.0</v>
      </c>
      <c r="C11" s="43" t="s">
        <v>22</v>
      </c>
      <c r="D11" s="44" t="s">
        <v>13</v>
      </c>
    </row>
    <row r="12">
      <c r="A12" s="40" t="s">
        <v>29</v>
      </c>
      <c r="B12" s="41">
        <v>12.0</v>
      </c>
      <c r="C12" s="43" t="s">
        <v>22</v>
      </c>
      <c r="D12" s="44" t="s">
        <v>13</v>
      </c>
    </row>
    <row r="13">
      <c r="A13" s="40" t="s">
        <v>31</v>
      </c>
      <c r="B13" s="41">
        <v>11.0</v>
      </c>
      <c r="C13" s="43" t="s">
        <v>22</v>
      </c>
      <c r="D13" s="44" t="s">
        <v>13</v>
      </c>
    </row>
    <row r="14">
      <c r="A14" s="47" t="s">
        <v>32</v>
      </c>
      <c r="B14" s="60">
        <v>12.0</v>
      </c>
      <c r="C14" s="63" t="s">
        <v>22</v>
      </c>
      <c r="D14" s="64" t="s">
        <v>19</v>
      </c>
    </row>
    <row r="15">
      <c r="A15" s="66" t="s">
        <v>35</v>
      </c>
      <c r="B15" s="69">
        <v>12.0</v>
      </c>
      <c r="C15" s="73" t="s">
        <v>22</v>
      </c>
      <c r="D15" s="66" t="s">
        <v>19</v>
      </c>
    </row>
    <row r="16">
      <c r="A16" s="75" t="s">
        <v>38</v>
      </c>
      <c r="B16" s="79">
        <v>12.0</v>
      </c>
      <c r="C16" s="80" t="s">
        <v>39</v>
      </c>
      <c r="D16" s="81" t="s">
        <v>13</v>
      </c>
    </row>
    <row r="17">
      <c r="A17" s="84" t="s">
        <v>40</v>
      </c>
      <c r="B17" s="87">
        <v>11.0</v>
      </c>
      <c r="C17" s="89" t="s">
        <v>39</v>
      </c>
      <c r="D17" s="81" t="s">
        <v>13</v>
      </c>
    </row>
    <row r="18">
      <c r="A18" s="84" t="s">
        <v>41</v>
      </c>
      <c r="B18" s="87">
        <v>10.0</v>
      </c>
      <c r="C18" s="89" t="s">
        <v>39</v>
      </c>
      <c r="D18" s="81" t="s">
        <v>13</v>
      </c>
    </row>
    <row r="19">
      <c r="A19" s="84" t="s">
        <v>42</v>
      </c>
      <c r="B19" s="87">
        <v>12.0</v>
      </c>
      <c r="C19" s="89" t="s">
        <v>39</v>
      </c>
      <c r="D19" s="81" t="s">
        <v>13</v>
      </c>
    </row>
    <row r="20">
      <c r="A20" s="84" t="s">
        <v>43</v>
      </c>
      <c r="B20" s="87">
        <v>11.0</v>
      </c>
      <c r="C20" s="89" t="s">
        <v>39</v>
      </c>
      <c r="D20" s="81" t="s">
        <v>13</v>
      </c>
    </row>
    <row r="21">
      <c r="A21" s="90" t="s">
        <v>44</v>
      </c>
      <c r="B21" s="92">
        <v>10.0</v>
      </c>
      <c r="C21" s="94" t="s">
        <v>39</v>
      </c>
      <c r="D21" s="81" t="s">
        <v>13</v>
      </c>
    </row>
    <row r="22">
      <c r="A22" s="105" t="s">
        <v>46</v>
      </c>
      <c r="B22" s="105">
        <v>12.0</v>
      </c>
      <c r="C22" s="109" t="s">
        <v>39</v>
      </c>
      <c r="D22" s="105" t="s">
        <v>19</v>
      </c>
    </row>
    <row r="23">
      <c r="A23" s="105" t="s">
        <v>49</v>
      </c>
      <c r="B23" s="105">
        <v>11.0</v>
      </c>
      <c r="C23" s="109" t="s">
        <v>39</v>
      </c>
      <c r="D23" s="105" t="s">
        <v>19</v>
      </c>
    </row>
    <row r="24">
      <c r="A24" s="111" t="s">
        <v>51</v>
      </c>
      <c r="B24" s="105">
        <v>11.0</v>
      </c>
      <c r="C24" s="109" t="s">
        <v>39</v>
      </c>
      <c r="D24" s="114" t="s">
        <v>19</v>
      </c>
    </row>
    <row r="25">
      <c r="A25" s="111" t="s">
        <v>55</v>
      </c>
      <c r="B25" s="105">
        <v>9.0</v>
      </c>
      <c r="C25" s="109" t="s">
        <v>39</v>
      </c>
      <c r="D25" s="114" t="s">
        <v>19</v>
      </c>
    </row>
    <row r="26">
      <c r="A26" s="117" t="s">
        <v>45</v>
      </c>
      <c r="B26" s="119">
        <v>12.0</v>
      </c>
      <c r="C26" s="120" t="s">
        <v>47</v>
      </c>
      <c r="D26" s="121" t="s">
        <v>13</v>
      </c>
    </row>
    <row r="27">
      <c r="A27" s="122" t="s">
        <v>57</v>
      </c>
      <c r="B27" s="123">
        <v>12.0</v>
      </c>
      <c r="C27" s="124" t="s">
        <v>47</v>
      </c>
      <c r="D27" s="125" t="s">
        <v>13</v>
      </c>
    </row>
    <row r="28">
      <c r="A28" s="122" t="s">
        <v>58</v>
      </c>
      <c r="B28" s="123">
        <v>12.0</v>
      </c>
      <c r="C28" s="124" t="s">
        <v>47</v>
      </c>
      <c r="D28" s="125" t="s">
        <v>13</v>
      </c>
    </row>
    <row r="29">
      <c r="A29" s="122" t="s">
        <v>59</v>
      </c>
      <c r="B29" s="123">
        <v>10.0</v>
      </c>
      <c r="C29" s="124" t="s">
        <v>47</v>
      </c>
      <c r="D29" s="125" t="s">
        <v>13</v>
      </c>
    </row>
    <row r="30">
      <c r="A30" s="122" t="s">
        <v>60</v>
      </c>
      <c r="B30" s="123">
        <v>12.0</v>
      </c>
      <c r="C30" s="124" t="s">
        <v>47</v>
      </c>
      <c r="D30" s="125" t="s">
        <v>13</v>
      </c>
    </row>
    <row r="31">
      <c r="A31" s="126" t="s">
        <v>61</v>
      </c>
      <c r="B31" s="128">
        <v>12.0</v>
      </c>
      <c r="C31" s="129" t="s">
        <v>47</v>
      </c>
      <c r="D31" s="131" t="s">
        <v>13</v>
      </c>
    </row>
    <row r="32">
      <c r="A32" s="132" t="s">
        <v>62</v>
      </c>
      <c r="B32" s="132">
        <v>11.0</v>
      </c>
      <c r="C32" s="133" t="s">
        <v>47</v>
      </c>
      <c r="D32" s="132" t="s">
        <v>19</v>
      </c>
    </row>
    <row r="33">
      <c r="A33" s="132"/>
      <c r="B33" s="132"/>
      <c r="C33" s="133" t="s">
        <v>47</v>
      </c>
      <c r="D33" s="132"/>
    </row>
    <row r="34">
      <c r="A34" s="134" t="s">
        <v>30</v>
      </c>
      <c r="B34" s="135">
        <v>11.0</v>
      </c>
      <c r="C34" s="137" t="s">
        <v>33</v>
      </c>
      <c r="D34" s="138" t="s">
        <v>13</v>
      </c>
    </row>
    <row r="35">
      <c r="A35" s="140" t="s">
        <v>64</v>
      </c>
      <c r="B35" s="141">
        <v>12.0</v>
      </c>
      <c r="C35" s="145" t="s">
        <v>33</v>
      </c>
      <c r="D35" s="147" t="s">
        <v>13</v>
      </c>
    </row>
    <row r="36">
      <c r="A36" s="140" t="s">
        <v>66</v>
      </c>
      <c r="B36" s="141">
        <v>12.0</v>
      </c>
      <c r="C36" s="145" t="s">
        <v>33</v>
      </c>
      <c r="D36" s="147" t="s">
        <v>13</v>
      </c>
    </row>
    <row r="37">
      <c r="A37" s="140" t="s">
        <v>67</v>
      </c>
      <c r="B37" s="141">
        <v>9.0</v>
      </c>
      <c r="C37" s="145" t="s">
        <v>33</v>
      </c>
      <c r="D37" s="147" t="s">
        <v>13</v>
      </c>
    </row>
    <row r="38">
      <c r="A38" s="140" t="s">
        <v>68</v>
      </c>
      <c r="B38" s="141">
        <v>12.0</v>
      </c>
      <c r="C38" s="145" t="s">
        <v>33</v>
      </c>
      <c r="D38" s="147" t="s">
        <v>13</v>
      </c>
    </row>
    <row r="39">
      <c r="A39" s="152" t="s">
        <v>70</v>
      </c>
      <c r="B39" s="154">
        <v>12.0</v>
      </c>
      <c r="C39" s="155" t="s">
        <v>33</v>
      </c>
      <c r="D39" s="156" t="s">
        <v>13</v>
      </c>
    </row>
    <row r="40">
      <c r="A40" s="158" t="s">
        <v>72</v>
      </c>
      <c r="B40" s="158">
        <v>11.0</v>
      </c>
      <c r="C40" s="159" t="s">
        <v>33</v>
      </c>
      <c r="D40" s="158" t="s">
        <v>19</v>
      </c>
    </row>
    <row r="41">
      <c r="A41" s="141" t="s">
        <v>73</v>
      </c>
      <c r="B41" s="141">
        <v>10.0</v>
      </c>
      <c r="C41" s="145" t="s">
        <v>33</v>
      </c>
      <c r="D41" s="141" t="s">
        <v>19</v>
      </c>
    </row>
    <row r="42">
      <c r="A42" s="141" t="s">
        <v>75</v>
      </c>
      <c r="B42" s="141">
        <v>9.0</v>
      </c>
      <c r="C42" s="145" t="s">
        <v>33</v>
      </c>
      <c r="D42" s="141" t="s">
        <v>19</v>
      </c>
    </row>
    <row r="43">
      <c r="A43" s="164" t="s">
        <v>76</v>
      </c>
      <c r="B43" s="158">
        <v>12.0</v>
      </c>
      <c r="C43" s="145" t="s">
        <v>33</v>
      </c>
      <c r="D43" s="141" t="s">
        <v>19</v>
      </c>
    </row>
    <row r="44">
      <c r="A44" s="165" t="s">
        <v>77</v>
      </c>
      <c r="B44" s="167">
        <v>10.0</v>
      </c>
      <c r="C44" s="169" t="s">
        <v>79</v>
      </c>
      <c r="D44" s="171" t="s">
        <v>13</v>
      </c>
    </row>
    <row r="45">
      <c r="A45" s="173" t="s">
        <v>80</v>
      </c>
      <c r="B45" s="174">
        <v>11.0</v>
      </c>
      <c r="C45" s="176" t="s">
        <v>79</v>
      </c>
      <c r="D45" s="177"/>
    </row>
    <row r="46">
      <c r="A46" s="179" t="s">
        <v>81</v>
      </c>
      <c r="B46" s="181">
        <v>9.0</v>
      </c>
      <c r="C46" s="182" t="s">
        <v>83</v>
      </c>
      <c r="D46" s="183" t="s">
        <v>13</v>
      </c>
    </row>
    <row r="47">
      <c r="A47" s="184" t="s">
        <v>85</v>
      </c>
      <c r="B47" s="185">
        <v>12.0</v>
      </c>
      <c r="C47" s="186" t="s">
        <v>86</v>
      </c>
      <c r="D47" s="187" t="s">
        <v>13</v>
      </c>
    </row>
    <row r="48">
      <c r="A48" s="189" t="s">
        <v>87</v>
      </c>
      <c r="B48" s="191">
        <v>10.0</v>
      </c>
      <c r="C48" s="192" t="s">
        <v>86</v>
      </c>
      <c r="D48" s="193" t="s">
        <v>13</v>
      </c>
    </row>
    <row r="49">
      <c r="A49" s="189" t="s">
        <v>90</v>
      </c>
      <c r="B49" s="191">
        <v>9.0</v>
      </c>
      <c r="C49" s="192" t="s">
        <v>86</v>
      </c>
      <c r="D49" s="193" t="s">
        <v>13</v>
      </c>
    </row>
    <row r="50">
      <c r="A50" s="189" t="s">
        <v>91</v>
      </c>
      <c r="B50" s="191">
        <v>10.0</v>
      </c>
      <c r="C50" s="192" t="s">
        <v>86</v>
      </c>
      <c r="D50" s="193" t="s">
        <v>13</v>
      </c>
    </row>
    <row r="51">
      <c r="A51" s="189" t="s">
        <v>92</v>
      </c>
      <c r="B51" s="191">
        <v>12.0</v>
      </c>
      <c r="C51" s="192" t="s">
        <v>86</v>
      </c>
      <c r="D51" s="193" t="s">
        <v>13</v>
      </c>
    </row>
    <row r="52">
      <c r="A52" s="194" t="s">
        <v>93</v>
      </c>
      <c r="B52" s="195">
        <v>12.0</v>
      </c>
      <c r="C52" s="196" t="s">
        <v>86</v>
      </c>
      <c r="D52" s="197" t="s">
        <v>13</v>
      </c>
    </row>
    <row r="53">
      <c r="A53" s="198" t="s">
        <v>95</v>
      </c>
      <c r="B53" s="200">
        <v>11.0</v>
      </c>
      <c r="C53" s="201" t="s">
        <v>97</v>
      </c>
      <c r="D53" s="202" t="s">
        <v>13</v>
      </c>
    </row>
    <row r="54">
      <c r="A54" s="203" t="s">
        <v>99</v>
      </c>
      <c r="B54" s="204">
        <v>12.0</v>
      </c>
      <c r="C54" s="205" t="s">
        <v>97</v>
      </c>
      <c r="D54" s="206" t="s">
        <v>13</v>
      </c>
    </row>
    <row r="55">
      <c r="A55" s="208" t="s">
        <v>100</v>
      </c>
      <c r="B55" s="210">
        <v>11.0</v>
      </c>
      <c r="C55" s="211" t="s">
        <v>101</v>
      </c>
      <c r="D55" s="212" t="s">
        <v>13</v>
      </c>
    </row>
    <row r="56">
      <c r="A56" s="213" t="s">
        <v>102</v>
      </c>
      <c r="B56" s="215">
        <v>12.0</v>
      </c>
      <c r="C56" s="217" t="s">
        <v>103</v>
      </c>
      <c r="D56" s="218" t="s">
        <v>13</v>
      </c>
    </row>
    <row r="57">
      <c r="A57" s="219" t="s">
        <v>104</v>
      </c>
      <c r="B57" s="220">
        <v>10.0</v>
      </c>
      <c r="C57" s="221" t="s">
        <v>103</v>
      </c>
      <c r="D57" s="222" t="s">
        <v>13</v>
      </c>
    </row>
    <row r="58">
      <c r="A58" s="219" t="s">
        <v>106</v>
      </c>
      <c r="B58" s="220">
        <v>10.0</v>
      </c>
      <c r="C58" s="221" t="s">
        <v>103</v>
      </c>
      <c r="D58" s="222" t="s">
        <v>13</v>
      </c>
    </row>
    <row r="59">
      <c r="A59" s="219" t="s">
        <v>107</v>
      </c>
      <c r="B59" s="220">
        <v>12.0</v>
      </c>
      <c r="C59" s="221" t="s">
        <v>103</v>
      </c>
      <c r="D59" s="222" t="s">
        <v>13</v>
      </c>
    </row>
    <row r="60">
      <c r="A60" s="219" t="s">
        <v>108</v>
      </c>
      <c r="B60" s="220">
        <v>10.0</v>
      </c>
      <c r="C60" s="221" t="s">
        <v>103</v>
      </c>
      <c r="D60" s="222" t="s">
        <v>13</v>
      </c>
    </row>
    <row r="61">
      <c r="A61" s="223" t="s">
        <v>110</v>
      </c>
      <c r="B61" s="225">
        <v>10.0</v>
      </c>
      <c r="C61" s="226" t="s">
        <v>103</v>
      </c>
      <c r="D61" s="227" t="s">
        <v>13</v>
      </c>
    </row>
    <row r="62">
      <c r="A62" s="228" t="s">
        <v>36</v>
      </c>
      <c r="B62" s="229" t="s">
        <v>113</v>
      </c>
      <c r="C62" s="230" t="s">
        <v>37</v>
      </c>
      <c r="D62" s="231" t="s">
        <v>13</v>
      </c>
    </row>
    <row r="63">
      <c r="A63" s="232" t="s">
        <v>56</v>
      </c>
      <c r="B63" s="233" t="s">
        <v>114</v>
      </c>
      <c r="C63" s="234" t="s">
        <v>37</v>
      </c>
      <c r="D63" s="235" t="s">
        <v>13</v>
      </c>
    </row>
    <row r="64">
      <c r="A64" s="232" t="s">
        <v>115</v>
      </c>
      <c r="B64" s="233" t="s">
        <v>113</v>
      </c>
      <c r="C64" s="234" t="s">
        <v>37</v>
      </c>
      <c r="D64" s="235" t="s">
        <v>13</v>
      </c>
    </row>
    <row r="65">
      <c r="A65" s="232" t="s">
        <v>78</v>
      </c>
      <c r="B65" s="233" t="s">
        <v>117</v>
      </c>
      <c r="C65" s="234" t="s">
        <v>37</v>
      </c>
      <c r="D65" s="235" t="s">
        <v>13</v>
      </c>
    </row>
    <row r="66">
      <c r="A66" s="232" t="s">
        <v>105</v>
      </c>
      <c r="B66" s="233" t="s">
        <v>117</v>
      </c>
      <c r="C66" s="234" t="s">
        <v>37</v>
      </c>
      <c r="D66" s="235" t="s">
        <v>13</v>
      </c>
    </row>
    <row r="67">
      <c r="A67" s="236" t="s">
        <v>116</v>
      </c>
      <c r="B67" s="238" t="s">
        <v>117</v>
      </c>
      <c r="C67" s="239" t="s">
        <v>37</v>
      </c>
      <c r="D67" s="240" t="s">
        <v>13</v>
      </c>
    </row>
    <row r="68">
      <c r="A68" s="242" t="s">
        <v>118</v>
      </c>
      <c r="B68" s="242" t="s">
        <v>117</v>
      </c>
      <c r="C68" s="244" t="s">
        <v>37</v>
      </c>
      <c r="D68" s="242" t="s">
        <v>19</v>
      </c>
    </row>
    <row r="69">
      <c r="A69" s="245" t="s">
        <v>69</v>
      </c>
      <c r="B69" s="246"/>
      <c r="C69" s="247" t="s">
        <v>71</v>
      </c>
      <c r="D69" s="249"/>
    </row>
    <row r="70">
      <c r="A70" s="250" t="s">
        <v>120</v>
      </c>
      <c r="B70" s="251"/>
      <c r="C70" s="253" t="s">
        <v>71</v>
      </c>
      <c r="D70" s="254"/>
    </row>
    <row r="71">
      <c r="A71" s="250" t="s">
        <v>123</v>
      </c>
      <c r="B71" s="251"/>
      <c r="C71" s="253" t="s">
        <v>71</v>
      </c>
      <c r="D71" s="254"/>
    </row>
    <row r="72">
      <c r="A72" s="250" t="s">
        <v>124</v>
      </c>
      <c r="B72" s="251"/>
      <c r="C72" s="253" t="s">
        <v>71</v>
      </c>
      <c r="D72" s="254"/>
    </row>
    <row r="73">
      <c r="A73" s="250" t="s">
        <v>125</v>
      </c>
      <c r="B73" s="251"/>
      <c r="C73" s="253" t="s">
        <v>71</v>
      </c>
      <c r="D73" s="254"/>
    </row>
    <row r="74">
      <c r="A74" s="255" t="s">
        <v>126</v>
      </c>
      <c r="B74" s="256"/>
      <c r="C74" s="257" t="s">
        <v>71</v>
      </c>
      <c r="D74" s="258"/>
    </row>
    <row r="75">
      <c r="A75" s="260" t="s">
        <v>127</v>
      </c>
      <c r="B75" s="260"/>
      <c r="C75" s="261" t="s">
        <v>71</v>
      </c>
      <c r="D75" s="260"/>
    </row>
    <row r="76">
      <c r="A76" s="251" t="s">
        <v>128</v>
      </c>
      <c r="B76" s="251"/>
      <c r="C76" s="253" t="s">
        <v>71</v>
      </c>
      <c r="D76" s="251"/>
    </row>
    <row r="77">
      <c r="A77" s="251" t="s">
        <v>129</v>
      </c>
      <c r="B77" s="251"/>
      <c r="C77" s="253" t="s">
        <v>71</v>
      </c>
      <c r="D77" s="251"/>
    </row>
    <row r="78">
      <c r="A78" s="262" t="s">
        <v>50</v>
      </c>
      <c r="B78" s="263">
        <v>11.0</v>
      </c>
      <c r="C78" s="264" t="s">
        <v>53</v>
      </c>
      <c r="D78" s="265"/>
    </row>
    <row r="79">
      <c r="A79" s="266" t="s">
        <v>74</v>
      </c>
      <c r="B79" s="267">
        <v>12.0</v>
      </c>
      <c r="C79" s="268" t="s">
        <v>53</v>
      </c>
      <c r="D79" s="269" t="s">
        <v>13</v>
      </c>
    </row>
    <row r="80">
      <c r="A80" s="266" t="s">
        <v>89</v>
      </c>
      <c r="B80" s="267">
        <v>11.0</v>
      </c>
      <c r="C80" s="268" t="s">
        <v>53</v>
      </c>
      <c r="D80" s="269" t="s">
        <v>13</v>
      </c>
    </row>
    <row r="81">
      <c r="A81" s="266" t="s">
        <v>111</v>
      </c>
      <c r="B81" s="267">
        <v>11.0</v>
      </c>
      <c r="C81" s="268" t="s">
        <v>53</v>
      </c>
      <c r="D81" s="269" t="s">
        <v>13</v>
      </c>
    </row>
    <row r="82">
      <c r="A82" s="266" t="s">
        <v>121</v>
      </c>
      <c r="B82" s="267">
        <v>9.0</v>
      </c>
      <c r="C82" s="268" t="s">
        <v>53</v>
      </c>
      <c r="D82" s="269" t="s">
        <v>13</v>
      </c>
    </row>
    <row r="83">
      <c r="A83" s="272" t="s">
        <v>96</v>
      </c>
      <c r="B83" s="273">
        <v>12.0</v>
      </c>
      <c r="C83" s="274" t="s">
        <v>53</v>
      </c>
      <c r="D83" s="275" t="s">
        <v>13</v>
      </c>
    </row>
    <row r="84">
      <c r="A84" s="276" t="s">
        <v>130</v>
      </c>
      <c r="B84" s="276">
        <v>9.0</v>
      </c>
      <c r="C84" s="277" t="s">
        <v>53</v>
      </c>
      <c r="D84" s="276" t="s">
        <v>19</v>
      </c>
    </row>
  </sheetData>
  <mergeCells count="1">
    <mergeCell ref="A1:D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1.38"/>
    <col customWidth="1" min="3" max="3" width="9.5"/>
    <col customWidth="1" min="4" max="4" width="22.88"/>
    <col customWidth="1" min="5" max="5" width="13.0"/>
    <col customWidth="1" min="6" max="6" width="19.88"/>
    <col customWidth="1" hidden="1" min="7" max="7" width="3.88"/>
    <col customWidth="1" hidden="1" min="8" max="28" width="3.63"/>
  </cols>
  <sheetData>
    <row r="1" ht="105.0" customHeight="1">
      <c r="A1" s="6" t="s">
        <v>5</v>
      </c>
      <c r="B1" s="8"/>
      <c r="C1" s="8"/>
      <c r="D1" s="8"/>
      <c r="E1" s="8"/>
      <c r="F1" s="11"/>
      <c r="G1" s="14"/>
      <c r="H1" s="19" t="s">
        <v>11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4"/>
    </row>
    <row r="2">
      <c r="A2" s="26" t="s">
        <v>1</v>
      </c>
      <c r="B2" s="28" t="s">
        <v>6</v>
      </c>
      <c r="C2" s="28" t="s">
        <v>7</v>
      </c>
      <c r="D2" s="28" t="s">
        <v>8</v>
      </c>
      <c r="E2" s="28" t="s">
        <v>9</v>
      </c>
      <c r="F2" s="28" t="s">
        <v>0</v>
      </c>
      <c r="G2" s="30"/>
      <c r="H2" s="32">
        <v>1.0</v>
      </c>
      <c r="I2" s="32">
        <v>2.0</v>
      </c>
      <c r="J2" s="32">
        <v>3.0</v>
      </c>
      <c r="K2" s="32">
        <v>4.0</v>
      </c>
      <c r="L2" s="32">
        <v>5.0</v>
      </c>
      <c r="M2" s="32">
        <v>6.0</v>
      </c>
      <c r="N2" s="32">
        <v>7.0</v>
      </c>
      <c r="O2" s="32">
        <v>8.0</v>
      </c>
      <c r="P2" s="32">
        <v>9.0</v>
      </c>
      <c r="Q2" s="37" t="s">
        <v>21</v>
      </c>
      <c r="R2" s="32">
        <v>10.0</v>
      </c>
      <c r="S2" s="32">
        <v>11.0</v>
      </c>
      <c r="T2" s="32">
        <v>12.0</v>
      </c>
      <c r="U2" s="32">
        <v>13.0</v>
      </c>
      <c r="V2" s="32">
        <v>14.0</v>
      </c>
      <c r="W2" s="32">
        <v>15.0</v>
      </c>
      <c r="X2" s="32">
        <v>16.0</v>
      </c>
      <c r="Y2" s="32">
        <v>17.0</v>
      </c>
      <c r="Z2" s="32">
        <v>18.0</v>
      </c>
      <c r="AA2" s="37" t="s">
        <v>25</v>
      </c>
      <c r="AB2" s="37" t="s">
        <v>26</v>
      </c>
    </row>
    <row r="3">
      <c r="A3" s="45" t="s">
        <v>27</v>
      </c>
      <c r="B3" s="46" t="s">
        <v>30</v>
      </c>
      <c r="C3" s="46">
        <v>11.0</v>
      </c>
      <c r="D3" s="49" t="s">
        <v>33</v>
      </c>
      <c r="E3" s="46" t="s">
        <v>13</v>
      </c>
      <c r="F3" s="52" t="s">
        <v>34</v>
      </c>
      <c r="G3" s="30"/>
      <c r="H3" s="54"/>
      <c r="I3" s="55"/>
      <c r="J3" s="55"/>
      <c r="K3" s="55"/>
      <c r="L3" s="55"/>
      <c r="M3" s="55"/>
      <c r="N3" s="55"/>
      <c r="O3" s="55"/>
      <c r="P3" s="55"/>
      <c r="Q3" s="58">
        <f t="shared" ref="Q3:Q35" si="1">SUM(H3:P3)</f>
        <v>0</v>
      </c>
      <c r="R3" s="55"/>
      <c r="S3" s="55"/>
      <c r="T3" s="55"/>
      <c r="U3" s="55"/>
      <c r="V3" s="55"/>
      <c r="W3" s="55"/>
      <c r="X3" s="55"/>
      <c r="Y3" s="55"/>
      <c r="Z3" s="55"/>
      <c r="AA3" s="62">
        <f t="shared" ref="AA3:AA35" si="2">SUM(R3:Z3)</f>
        <v>0</v>
      </c>
      <c r="AB3" s="65">
        <f t="shared" ref="AB3:AB35" si="3">Q3+AA3</f>
        <v>0</v>
      </c>
    </row>
    <row r="4">
      <c r="A4" s="68"/>
      <c r="B4" s="70" t="s">
        <v>36</v>
      </c>
      <c r="C4" s="70">
        <v>9.0</v>
      </c>
      <c r="D4" s="72" t="s">
        <v>37</v>
      </c>
      <c r="E4" s="70" t="s">
        <v>13</v>
      </c>
      <c r="F4" s="68"/>
      <c r="G4" s="30"/>
      <c r="H4" s="74"/>
      <c r="I4" s="76"/>
      <c r="J4" s="76"/>
      <c r="K4" s="76"/>
      <c r="L4" s="76"/>
      <c r="M4" s="76"/>
      <c r="N4" s="76"/>
      <c r="O4" s="76"/>
      <c r="P4" s="76"/>
      <c r="Q4" s="58">
        <f t="shared" si="1"/>
        <v>0</v>
      </c>
      <c r="R4" s="76"/>
      <c r="S4" s="76"/>
      <c r="T4" s="76"/>
      <c r="U4" s="76"/>
      <c r="V4" s="76"/>
      <c r="W4" s="76"/>
      <c r="X4" s="76"/>
      <c r="Y4" s="76"/>
      <c r="Z4" s="76"/>
      <c r="AA4" s="62">
        <f t="shared" si="2"/>
        <v>0</v>
      </c>
      <c r="AB4" s="82">
        <f t="shared" si="3"/>
        <v>0</v>
      </c>
    </row>
    <row r="5">
      <c r="A5" s="68"/>
      <c r="B5" s="85" t="s">
        <v>38</v>
      </c>
      <c r="C5" s="85">
        <v>12.0</v>
      </c>
      <c r="D5" s="88" t="s">
        <v>39</v>
      </c>
      <c r="E5" s="85" t="s">
        <v>13</v>
      </c>
      <c r="F5" s="68"/>
      <c r="G5" s="30"/>
      <c r="H5" s="74"/>
      <c r="I5" s="76"/>
      <c r="J5" s="76"/>
      <c r="K5" s="76"/>
      <c r="L5" s="76"/>
      <c r="M5" s="76"/>
      <c r="N5" s="76"/>
      <c r="O5" s="76"/>
      <c r="P5" s="76"/>
      <c r="Q5" s="58">
        <f t="shared" si="1"/>
        <v>0</v>
      </c>
      <c r="R5" s="76"/>
      <c r="S5" s="76"/>
      <c r="T5" s="76"/>
      <c r="U5" s="76"/>
      <c r="V5" s="76"/>
      <c r="W5" s="76"/>
      <c r="X5" s="76"/>
      <c r="Y5" s="76"/>
      <c r="Z5" s="76"/>
      <c r="AA5" s="62">
        <f t="shared" si="2"/>
        <v>0</v>
      </c>
      <c r="AB5" s="82">
        <f t="shared" si="3"/>
        <v>0</v>
      </c>
    </row>
    <row r="6">
      <c r="A6" s="93"/>
      <c r="B6" s="95" t="s">
        <v>45</v>
      </c>
      <c r="C6" s="95">
        <v>12.0</v>
      </c>
      <c r="D6" s="97" t="s">
        <v>47</v>
      </c>
      <c r="E6" s="95" t="s">
        <v>13</v>
      </c>
      <c r="F6" s="93"/>
      <c r="G6" s="30"/>
      <c r="H6" s="100"/>
      <c r="I6" s="102"/>
      <c r="J6" s="102"/>
      <c r="K6" s="102"/>
      <c r="L6" s="102"/>
      <c r="M6" s="102"/>
      <c r="N6" s="102"/>
      <c r="O6" s="102"/>
      <c r="P6" s="102"/>
      <c r="Q6" s="58">
        <f t="shared" si="1"/>
        <v>0</v>
      </c>
      <c r="R6" s="102"/>
      <c r="S6" s="102"/>
      <c r="T6" s="102"/>
      <c r="U6" s="102"/>
      <c r="V6" s="102"/>
      <c r="W6" s="102"/>
      <c r="X6" s="102"/>
      <c r="Y6" s="102"/>
      <c r="Z6" s="102"/>
      <c r="AA6" s="62">
        <f t="shared" si="2"/>
        <v>0</v>
      </c>
      <c r="AB6" s="108">
        <f t="shared" si="3"/>
        <v>0</v>
      </c>
    </row>
    <row r="7">
      <c r="A7" s="45" t="s">
        <v>48</v>
      </c>
      <c r="B7" s="110" t="s">
        <v>50</v>
      </c>
      <c r="C7" s="110">
        <v>11.0</v>
      </c>
      <c r="D7" s="112" t="s">
        <v>53</v>
      </c>
      <c r="E7" s="110" t="s">
        <v>13</v>
      </c>
      <c r="F7" s="116" t="s">
        <v>54</v>
      </c>
      <c r="G7" s="30"/>
      <c r="H7" s="54"/>
      <c r="I7" s="55"/>
      <c r="J7" s="55"/>
      <c r="K7" s="55"/>
      <c r="L7" s="55"/>
      <c r="M7" s="55"/>
      <c r="N7" s="55"/>
      <c r="O7" s="55"/>
      <c r="P7" s="55"/>
      <c r="Q7" s="58">
        <f t="shared" si="1"/>
        <v>0</v>
      </c>
      <c r="R7" s="55"/>
      <c r="S7" s="55"/>
      <c r="T7" s="55"/>
      <c r="U7" s="55"/>
      <c r="V7" s="55"/>
      <c r="W7" s="55"/>
      <c r="X7" s="55"/>
      <c r="Y7" s="55"/>
      <c r="Z7" s="55"/>
      <c r="AA7" s="62">
        <f t="shared" si="2"/>
        <v>0</v>
      </c>
      <c r="AB7" s="65">
        <f t="shared" si="3"/>
        <v>0</v>
      </c>
    </row>
    <row r="8">
      <c r="A8" s="68"/>
      <c r="B8" s="70" t="s">
        <v>56</v>
      </c>
      <c r="C8" s="70">
        <v>10.0</v>
      </c>
      <c r="D8" s="72" t="s">
        <v>37</v>
      </c>
      <c r="E8" s="70" t="s">
        <v>13</v>
      </c>
      <c r="F8" s="68"/>
      <c r="G8" s="30"/>
      <c r="H8" s="74"/>
      <c r="I8" s="76"/>
      <c r="J8" s="76"/>
      <c r="K8" s="76"/>
      <c r="L8" s="76"/>
      <c r="M8" s="76"/>
      <c r="N8" s="76"/>
      <c r="O8" s="76"/>
      <c r="P8" s="76"/>
      <c r="Q8" s="58">
        <f t="shared" si="1"/>
        <v>0</v>
      </c>
      <c r="R8" s="76"/>
      <c r="S8" s="76"/>
      <c r="T8" s="76"/>
      <c r="U8" s="76"/>
      <c r="V8" s="76"/>
      <c r="W8" s="76"/>
      <c r="X8" s="76"/>
      <c r="Y8" s="76"/>
      <c r="Z8" s="76"/>
      <c r="AA8" s="62">
        <f t="shared" si="2"/>
        <v>0</v>
      </c>
      <c r="AB8" s="82">
        <f t="shared" si="3"/>
        <v>0</v>
      </c>
    </row>
    <row r="9">
      <c r="A9" s="68"/>
      <c r="B9" s="85" t="s">
        <v>40</v>
      </c>
      <c r="C9" s="85">
        <v>11.0</v>
      </c>
      <c r="D9" s="88" t="s">
        <v>39</v>
      </c>
      <c r="E9" s="85" t="s">
        <v>13</v>
      </c>
      <c r="F9" s="68"/>
      <c r="G9" s="30"/>
      <c r="H9" s="74"/>
      <c r="I9" s="76"/>
      <c r="J9" s="76"/>
      <c r="K9" s="76"/>
      <c r="L9" s="76"/>
      <c r="M9" s="76"/>
      <c r="N9" s="76"/>
      <c r="O9" s="76"/>
      <c r="P9" s="76"/>
      <c r="Q9" s="58">
        <f t="shared" si="1"/>
        <v>0</v>
      </c>
      <c r="R9" s="76"/>
      <c r="S9" s="76"/>
      <c r="T9" s="76"/>
      <c r="U9" s="76"/>
      <c r="V9" s="76"/>
      <c r="W9" s="76"/>
      <c r="X9" s="76"/>
      <c r="Y9" s="76"/>
      <c r="Z9" s="76"/>
      <c r="AA9" s="62">
        <f t="shared" si="2"/>
        <v>0</v>
      </c>
      <c r="AB9" s="82">
        <f t="shared" si="3"/>
        <v>0</v>
      </c>
    </row>
    <row r="10">
      <c r="A10" s="93"/>
      <c r="B10" s="95" t="s">
        <v>57</v>
      </c>
      <c r="C10" s="95">
        <v>12.0</v>
      </c>
      <c r="D10" s="97" t="s">
        <v>47</v>
      </c>
      <c r="E10" s="95" t="s">
        <v>13</v>
      </c>
      <c r="F10" s="93"/>
      <c r="G10" s="30"/>
      <c r="H10" s="74"/>
      <c r="I10" s="76"/>
      <c r="J10" s="76"/>
      <c r="K10" s="76"/>
      <c r="L10" s="76"/>
      <c r="M10" s="76"/>
      <c r="N10" s="76"/>
      <c r="O10" s="76"/>
      <c r="P10" s="76"/>
      <c r="Q10" s="58">
        <f t="shared" si="1"/>
        <v>0</v>
      </c>
      <c r="R10" s="76"/>
      <c r="S10" s="76"/>
      <c r="T10" s="76"/>
      <c r="U10" s="76"/>
      <c r="V10" s="76"/>
      <c r="W10" s="76"/>
      <c r="X10" s="76"/>
      <c r="Y10" s="76"/>
      <c r="Z10" s="76"/>
      <c r="AA10" s="62">
        <f t="shared" si="2"/>
        <v>0</v>
      </c>
      <c r="AB10" s="82">
        <f t="shared" si="3"/>
        <v>0</v>
      </c>
    </row>
    <row r="11">
      <c r="A11" s="45" t="s">
        <v>63</v>
      </c>
      <c r="B11" s="136" t="s">
        <v>41</v>
      </c>
      <c r="C11" s="136">
        <v>10.0</v>
      </c>
      <c r="D11" s="139" t="s">
        <v>39</v>
      </c>
      <c r="E11" s="136" t="s">
        <v>13</v>
      </c>
      <c r="F11" s="142" t="s">
        <v>65</v>
      </c>
      <c r="G11" s="143"/>
      <c r="H11" s="144"/>
      <c r="I11" s="144"/>
      <c r="J11" s="144"/>
      <c r="K11" s="144"/>
      <c r="L11" s="144"/>
      <c r="M11" s="144"/>
      <c r="N11" s="144"/>
      <c r="O11" s="144"/>
      <c r="P11" s="144"/>
      <c r="Q11" s="148">
        <f t="shared" si="1"/>
        <v>0</v>
      </c>
      <c r="R11" s="144"/>
      <c r="S11" s="144"/>
      <c r="T11" s="144"/>
      <c r="U11" s="144"/>
      <c r="V11" s="144"/>
      <c r="W11" s="144"/>
      <c r="X11" s="144"/>
      <c r="Y11" s="144"/>
      <c r="Z11" s="144"/>
      <c r="AA11" s="149">
        <f t="shared" si="2"/>
        <v>0</v>
      </c>
      <c r="AB11" s="150">
        <f t="shared" si="3"/>
        <v>0</v>
      </c>
    </row>
    <row r="12">
      <c r="A12" s="68"/>
      <c r="B12" s="151" t="s">
        <v>69</v>
      </c>
      <c r="C12" s="151">
        <v>12.0</v>
      </c>
      <c r="D12" s="153" t="s">
        <v>71</v>
      </c>
      <c r="E12" s="151" t="s">
        <v>13</v>
      </c>
      <c r="F12" s="68"/>
      <c r="G12" s="30"/>
      <c r="H12" s="76"/>
      <c r="I12" s="76"/>
      <c r="J12" s="76"/>
      <c r="K12" s="76"/>
      <c r="L12" s="76"/>
      <c r="M12" s="76"/>
      <c r="N12" s="76"/>
      <c r="O12" s="76"/>
      <c r="P12" s="76"/>
      <c r="Q12" s="157">
        <f t="shared" si="1"/>
        <v>0</v>
      </c>
      <c r="R12" s="76"/>
      <c r="S12" s="76"/>
      <c r="T12" s="76"/>
      <c r="U12" s="76"/>
      <c r="V12" s="76"/>
      <c r="W12" s="76"/>
      <c r="X12" s="76"/>
      <c r="Y12" s="76"/>
      <c r="Z12" s="76"/>
      <c r="AA12" s="160">
        <f t="shared" si="2"/>
        <v>0</v>
      </c>
      <c r="AB12" s="161">
        <f t="shared" si="3"/>
        <v>0</v>
      </c>
    </row>
    <row r="13">
      <c r="A13" s="68"/>
      <c r="B13" s="162" t="s">
        <v>74</v>
      </c>
      <c r="C13" s="162">
        <v>12.0</v>
      </c>
      <c r="D13" s="163" t="s">
        <v>53</v>
      </c>
      <c r="E13" s="162" t="s">
        <v>13</v>
      </c>
      <c r="F13" s="68"/>
      <c r="G13" s="30"/>
      <c r="H13" s="76"/>
      <c r="I13" s="76"/>
      <c r="J13" s="76"/>
      <c r="K13" s="76"/>
      <c r="L13" s="76"/>
      <c r="M13" s="76"/>
      <c r="N13" s="76"/>
      <c r="O13" s="76"/>
      <c r="P13" s="76"/>
      <c r="Q13" s="157">
        <f t="shared" si="1"/>
        <v>0</v>
      </c>
      <c r="R13" s="76"/>
      <c r="S13" s="76"/>
      <c r="T13" s="76"/>
      <c r="U13" s="76"/>
      <c r="V13" s="76"/>
      <c r="W13" s="76"/>
      <c r="X13" s="76"/>
      <c r="Y13" s="76"/>
      <c r="Z13" s="76"/>
      <c r="AA13" s="160">
        <f t="shared" si="2"/>
        <v>0</v>
      </c>
      <c r="AB13" s="161">
        <f t="shared" si="3"/>
        <v>0</v>
      </c>
    </row>
    <row r="14">
      <c r="A14" s="93"/>
      <c r="B14" s="166" t="s">
        <v>78</v>
      </c>
      <c r="C14" s="166">
        <v>11.0</v>
      </c>
      <c r="D14" s="168" t="s">
        <v>37</v>
      </c>
      <c r="E14" s="166" t="s">
        <v>13</v>
      </c>
      <c r="F14" s="93"/>
      <c r="G14" s="170"/>
      <c r="H14" s="172"/>
      <c r="I14" s="172"/>
      <c r="J14" s="172"/>
      <c r="K14" s="172"/>
      <c r="L14" s="172"/>
      <c r="M14" s="172"/>
      <c r="N14" s="172"/>
      <c r="O14" s="172"/>
      <c r="P14" s="172"/>
      <c r="Q14" s="175">
        <f t="shared" si="1"/>
        <v>0</v>
      </c>
      <c r="R14" s="172"/>
      <c r="S14" s="172"/>
      <c r="T14" s="172"/>
      <c r="U14" s="172"/>
      <c r="V14" s="172"/>
      <c r="W14" s="172"/>
      <c r="X14" s="172"/>
      <c r="Y14" s="172"/>
      <c r="Z14" s="172"/>
      <c r="AA14" s="178">
        <f t="shared" si="2"/>
        <v>0</v>
      </c>
      <c r="AB14" s="180">
        <f t="shared" si="3"/>
        <v>0</v>
      </c>
    </row>
    <row r="15">
      <c r="A15" s="45" t="s">
        <v>82</v>
      </c>
      <c r="B15" s="136" t="s">
        <v>42</v>
      </c>
      <c r="C15" s="136">
        <v>12.0</v>
      </c>
      <c r="D15" s="139" t="s">
        <v>39</v>
      </c>
      <c r="E15" s="136" t="s">
        <v>13</v>
      </c>
      <c r="F15" s="52" t="s">
        <v>84</v>
      </c>
      <c r="G15" s="30"/>
      <c r="H15" s="74"/>
      <c r="I15" s="76"/>
      <c r="J15" s="76"/>
      <c r="K15" s="76"/>
      <c r="L15" s="76"/>
      <c r="M15" s="76"/>
      <c r="N15" s="76"/>
      <c r="O15" s="76"/>
      <c r="P15" s="76"/>
      <c r="Q15" s="157">
        <f t="shared" si="1"/>
        <v>0</v>
      </c>
      <c r="R15" s="76"/>
      <c r="S15" s="76"/>
      <c r="T15" s="76"/>
      <c r="U15" s="76"/>
      <c r="V15" s="76"/>
      <c r="W15" s="76"/>
      <c r="X15" s="76"/>
      <c r="Y15" s="76"/>
      <c r="Z15" s="76"/>
      <c r="AA15" s="160">
        <f t="shared" si="2"/>
        <v>0</v>
      </c>
      <c r="AB15" s="82">
        <f t="shared" si="3"/>
        <v>0</v>
      </c>
    </row>
    <row r="16">
      <c r="A16" s="68"/>
      <c r="B16" s="188" t="s">
        <v>20</v>
      </c>
      <c r="C16" s="188">
        <v>12.0</v>
      </c>
      <c r="D16" s="190" t="s">
        <v>22</v>
      </c>
      <c r="E16" s="188" t="s">
        <v>13</v>
      </c>
      <c r="F16" s="68"/>
      <c r="G16" s="30"/>
      <c r="H16" s="74"/>
      <c r="I16" s="76"/>
      <c r="J16" s="76"/>
      <c r="K16" s="76"/>
      <c r="L16" s="76"/>
      <c r="M16" s="76"/>
      <c r="N16" s="76"/>
      <c r="O16" s="76"/>
      <c r="P16" s="76"/>
      <c r="Q16" s="58">
        <f t="shared" si="1"/>
        <v>0</v>
      </c>
      <c r="R16" s="76"/>
      <c r="S16" s="76"/>
      <c r="T16" s="76"/>
      <c r="U16" s="76"/>
      <c r="V16" s="76"/>
      <c r="W16" s="76"/>
      <c r="X16" s="76"/>
      <c r="Y16" s="76"/>
      <c r="Z16" s="76"/>
      <c r="AA16" s="62">
        <f t="shared" si="2"/>
        <v>0</v>
      </c>
      <c r="AB16" s="82">
        <f t="shared" si="3"/>
        <v>0</v>
      </c>
    </row>
    <row r="17">
      <c r="A17" s="68"/>
      <c r="B17" s="162" t="s">
        <v>89</v>
      </c>
      <c r="C17" s="162">
        <v>11.0</v>
      </c>
      <c r="D17" s="163" t="s">
        <v>53</v>
      </c>
      <c r="E17" s="162" t="s">
        <v>13</v>
      </c>
      <c r="F17" s="68"/>
      <c r="G17" s="30"/>
      <c r="H17" s="74"/>
      <c r="I17" s="76"/>
      <c r="J17" s="76"/>
      <c r="K17" s="76"/>
      <c r="L17" s="76"/>
      <c r="M17" s="76"/>
      <c r="N17" s="76"/>
      <c r="O17" s="76"/>
      <c r="P17" s="76"/>
      <c r="Q17" s="58">
        <f t="shared" si="1"/>
        <v>0</v>
      </c>
      <c r="R17" s="76"/>
      <c r="S17" s="76"/>
      <c r="T17" s="76"/>
      <c r="U17" s="76"/>
      <c r="V17" s="76"/>
      <c r="W17" s="76"/>
      <c r="X17" s="76"/>
      <c r="Y17" s="76"/>
      <c r="Z17" s="76"/>
      <c r="AA17" s="62">
        <f t="shared" si="2"/>
        <v>0</v>
      </c>
      <c r="AB17" s="82">
        <f t="shared" si="3"/>
        <v>0</v>
      </c>
    </row>
    <row r="18">
      <c r="A18" s="93"/>
      <c r="B18" s="95" t="s">
        <v>60</v>
      </c>
      <c r="C18" s="95">
        <v>12.0</v>
      </c>
      <c r="D18" s="97" t="s">
        <v>47</v>
      </c>
      <c r="E18" s="95" t="s">
        <v>13</v>
      </c>
      <c r="F18" s="93"/>
      <c r="G18" s="30"/>
      <c r="H18" s="100"/>
      <c r="I18" s="102"/>
      <c r="J18" s="102"/>
      <c r="K18" s="102"/>
      <c r="L18" s="102"/>
      <c r="M18" s="102"/>
      <c r="N18" s="102"/>
      <c r="O18" s="102"/>
      <c r="P18" s="102"/>
      <c r="Q18" s="58">
        <f t="shared" si="1"/>
        <v>0</v>
      </c>
      <c r="R18" s="102"/>
      <c r="S18" s="102"/>
      <c r="T18" s="102"/>
      <c r="U18" s="102"/>
      <c r="V18" s="102"/>
      <c r="W18" s="102"/>
      <c r="X18" s="102"/>
      <c r="Y18" s="102"/>
      <c r="Z18" s="102"/>
      <c r="AA18" s="62">
        <f t="shared" si="2"/>
        <v>0</v>
      </c>
      <c r="AB18" s="108">
        <f t="shared" si="3"/>
        <v>0</v>
      </c>
    </row>
    <row r="19">
      <c r="A19" s="199" t="s">
        <v>94</v>
      </c>
      <c r="B19" s="110" t="s">
        <v>96</v>
      </c>
      <c r="C19" s="110">
        <v>12.0</v>
      </c>
      <c r="D19" s="112" t="s">
        <v>53</v>
      </c>
      <c r="E19" s="110" t="s">
        <v>13</v>
      </c>
      <c r="F19" s="116" t="s">
        <v>98</v>
      </c>
      <c r="G19" s="30"/>
      <c r="H19" s="54"/>
      <c r="I19" s="55"/>
      <c r="J19" s="55"/>
      <c r="K19" s="55"/>
      <c r="L19" s="55"/>
      <c r="M19" s="55"/>
      <c r="N19" s="55"/>
      <c r="O19" s="55"/>
      <c r="P19" s="55"/>
      <c r="Q19" s="58">
        <f t="shared" si="1"/>
        <v>0</v>
      </c>
      <c r="R19" s="55"/>
      <c r="S19" s="55"/>
      <c r="T19" s="55"/>
      <c r="U19" s="55"/>
      <c r="V19" s="55"/>
      <c r="W19" s="55"/>
      <c r="X19" s="55"/>
      <c r="Y19" s="55"/>
      <c r="Z19" s="55"/>
      <c r="AA19" s="62">
        <f t="shared" si="2"/>
        <v>0</v>
      </c>
      <c r="AB19" s="65">
        <f t="shared" si="3"/>
        <v>0</v>
      </c>
    </row>
    <row r="20">
      <c r="A20" s="68"/>
      <c r="B20" s="207" t="s">
        <v>59</v>
      </c>
      <c r="C20" s="207">
        <v>10.0</v>
      </c>
      <c r="D20" s="209" t="s">
        <v>47</v>
      </c>
      <c r="E20" s="207" t="s">
        <v>13</v>
      </c>
      <c r="F20" s="68"/>
      <c r="G20" s="30"/>
      <c r="H20" s="74"/>
      <c r="I20" s="76"/>
      <c r="J20" s="76"/>
      <c r="K20" s="76"/>
      <c r="L20" s="76"/>
      <c r="M20" s="76"/>
      <c r="N20" s="76"/>
      <c r="O20" s="76"/>
      <c r="P20" s="76"/>
      <c r="Q20" s="58">
        <f t="shared" si="1"/>
        <v>0</v>
      </c>
      <c r="R20" s="76"/>
      <c r="S20" s="76"/>
      <c r="T20" s="76"/>
      <c r="U20" s="76"/>
      <c r="V20" s="76"/>
      <c r="W20" s="76"/>
      <c r="X20" s="76"/>
      <c r="Y20" s="76"/>
      <c r="Z20" s="76"/>
      <c r="AA20" s="62">
        <f t="shared" si="2"/>
        <v>0</v>
      </c>
      <c r="AB20" s="82">
        <f t="shared" si="3"/>
        <v>0</v>
      </c>
    </row>
    <row r="21">
      <c r="A21" s="68"/>
      <c r="B21" s="214" t="s">
        <v>64</v>
      </c>
      <c r="C21" s="214">
        <v>12.0</v>
      </c>
      <c r="D21" s="216" t="s">
        <v>33</v>
      </c>
      <c r="E21" s="214" t="s">
        <v>13</v>
      </c>
      <c r="F21" s="68"/>
      <c r="G21" s="30"/>
      <c r="H21" s="74"/>
      <c r="I21" s="76"/>
      <c r="J21" s="76"/>
      <c r="K21" s="76"/>
      <c r="L21" s="76"/>
      <c r="M21" s="76"/>
      <c r="N21" s="76"/>
      <c r="O21" s="76"/>
      <c r="P21" s="76"/>
      <c r="Q21" s="58">
        <f t="shared" si="1"/>
        <v>0</v>
      </c>
      <c r="R21" s="76"/>
      <c r="S21" s="76"/>
      <c r="T21" s="76"/>
      <c r="U21" s="76"/>
      <c r="V21" s="76"/>
      <c r="W21" s="76"/>
      <c r="X21" s="76"/>
      <c r="Y21" s="76"/>
      <c r="Z21" s="76"/>
      <c r="AA21" s="62">
        <f t="shared" si="2"/>
        <v>0</v>
      </c>
      <c r="AB21" s="82">
        <f t="shared" si="3"/>
        <v>0</v>
      </c>
    </row>
    <row r="22">
      <c r="A22" s="93"/>
      <c r="B22" s="166" t="s">
        <v>105</v>
      </c>
      <c r="C22" s="166">
        <v>11.0</v>
      </c>
      <c r="D22" s="168" t="s">
        <v>37</v>
      </c>
      <c r="E22" s="166" t="s">
        <v>13</v>
      </c>
      <c r="F22" s="93"/>
      <c r="G22" s="30"/>
      <c r="H22" s="100"/>
      <c r="I22" s="102"/>
      <c r="J22" s="102"/>
      <c r="K22" s="102"/>
      <c r="L22" s="102"/>
      <c r="M22" s="102"/>
      <c r="N22" s="102"/>
      <c r="O22" s="102"/>
      <c r="P22" s="102"/>
      <c r="Q22" s="58">
        <f t="shared" si="1"/>
        <v>0</v>
      </c>
      <c r="R22" s="102"/>
      <c r="S22" s="102"/>
      <c r="T22" s="102"/>
      <c r="U22" s="102"/>
      <c r="V22" s="102"/>
      <c r="W22" s="102"/>
      <c r="X22" s="102"/>
      <c r="Y22" s="102"/>
      <c r="Z22" s="102"/>
      <c r="AA22" s="62">
        <f t="shared" si="2"/>
        <v>0</v>
      </c>
      <c r="AB22" s="108">
        <f t="shared" si="3"/>
        <v>0</v>
      </c>
    </row>
    <row r="23">
      <c r="A23" s="199" t="s">
        <v>109</v>
      </c>
      <c r="B23" s="110" t="s">
        <v>111</v>
      </c>
      <c r="C23" s="110">
        <v>11.0</v>
      </c>
      <c r="D23" s="112" t="s">
        <v>53</v>
      </c>
      <c r="E23" s="110" t="s">
        <v>13</v>
      </c>
      <c r="F23" s="116" t="s">
        <v>112</v>
      </c>
      <c r="G23" s="30"/>
      <c r="H23" s="54"/>
      <c r="I23" s="55"/>
      <c r="J23" s="55"/>
      <c r="K23" s="55"/>
      <c r="L23" s="55"/>
      <c r="M23" s="55"/>
      <c r="N23" s="55"/>
      <c r="O23" s="55"/>
      <c r="P23" s="55"/>
      <c r="Q23" s="58">
        <f t="shared" si="1"/>
        <v>0</v>
      </c>
      <c r="R23" s="55"/>
      <c r="S23" s="55"/>
      <c r="T23" s="55"/>
      <c r="U23" s="55"/>
      <c r="V23" s="55"/>
      <c r="W23" s="55"/>
      <c r="X23" s="55"/>
      <c r="Y23" s="55"/>
      <c r="Z23" s="55"/>
      <c r="AA23" s="62">
        <f t="shared" si="2"/>
        <v>0</v>
      </c>
      <c r="AB23" s="65">
        <f t="shared" si="3"/>
        <v>0</v>
      </c>
    </row>
    <row r="24">
      <c r="A24" s="68"/>
      <c r="B24" s="214" t="s">
        <v>68</v>
      </c>
      <c r="C24" s="214">
        <v>12.0</v>
      </c>
      <c r="D24" s="216" t="s">
        <v>33</v>
      </c>
      <c r="E24" s="214" t="s">
        <v>13</v>
      </c>
      <c r="F24" s="68"/>
      <c r="G24" s="30"/>
      <c r="H24" s="74"/>
      <c r="I24" s="76"/>
      <c r="J24" s="76"/>
      <c r="K24" s="76"/>
      <c r="L24" s="76"/>
      <c r="M24" s="76"/>
      <c r="N24" s="76"/>
      <c r="O24" s="76"/>
      <c r="P24" s="76"/>
      <c r="Q24" s="58">
        <f t="shared" si="1"/>
        <v>0</v>
      </c>
      <c r="R24" s="76"/>
      <c r="S24" s="76"/>
      <c r="T24" s="76"/>
      <c r="U24" s="76"/>
      <c r="V24" s="76"/>
      <c r="W24" s="76"/>
      <c r="X24" s="76"/>
      <c r="Y24" s="76"/>
      <c r="Z24" s="76"/>
      <c r="AA24" s="62">
        <f t="shared" si="2"/>
        <v>0</v>
      </c>
      <c r="AB24" s="82">
        <f t="shared" si="3"/>
        <v>0</v>
      </c>
    </row>
    <row r="25">
      <c r="A25" s="68"/>
      <c r="B25" s="70" t="s">
        <v>116</v>
      </c>
      <c r="C25" s="70">
        <v>11.0</v>
      </c>
      <c r="D25" s="72" t="s">
        <v>37</v>
      </c>
      <c r="E25" s="70" t="s">
        <v>13</v>
      </c>
      <c r="F25" s="68"/>
      <c r="G25" s="30"/>
      <c r="H25" s="74"/>
      <c r="I25" s="76"/>
      <c r="J25" s="76"/>
      <c r="K25" s="76"/>
      <c r="L25" s="76"/>
      <c r="M25" s="76"/>
      <c r="N25" s="76"/>
      <c r="O25" s="76"/>
      <c r="P25" s="76"/>
      <c r="Q25" s="58">
        <f t="shared" si="1"/>
        <v>0</v>
      </c>
      <c r="R25" s="76"/>
      <c r="S25" s="76"/>
      <c r="T25" s="76"/>
      <c r="U25" s="76"/>
      <c r="V25" s="76"/>
      <c r="W25" s="76"/>
      <c r="X25" s="76"/>
      <c r="Y25" s="76"/>
      <c r="Z25" s="76"/>
      <c r="AA25" s="62">
        <f t="shared" si="2"/>
        <v>0</v>
      </c>
      <c r="AB25" s="82">
        <f t="shared" si="3"/>
        <v>0</v>
      </c>
    </row>
    <row r="26">
      <c r="A26" s="93"/>
      <c r="B26" s="241" t="s">
        <v>10</v>
      </c>
      <c r="C26" s="241">
        <v>11.0</v>
      </c>
      <c r="D26" s="243" t="s">
        <v>12</v>
      </c>
      <c r="E26" s="241" t="s">
        <v>13</v>
      </c>
      <c r="F26" s="93"/>
      <c r="G26" s="30"/>
      <c r="H26" s="100"/>
      <c r="I26" s="102"/>
      <c r="J26" s="102"/>
      <c r="K26" s="102"/>
      <c r="L26" s="102"/>
      <c r="M26" s="102"/>
      <c r="N26" s="102"/>
      <c r="O26" s="102"/>
      <c r="P26" s="102"/>
      <c r="Q26" s="58">
        <f t="shared" si="1"/>
        <v>0</v>
      </c>
      <c r="R26" s="102"/>
      <c r="S26" s="102"/>
      <c r="T26" s="102"/>
      <c r="U26" s="102"/>
      <c r="V26" s="102"/>
      <c r="W26" s="102"/>
      <c r="X26" s="102"/>
      <c r="Y26" s="102"/>
      <c r="Z26" s="102"/>
      <c r="AA26" s="62">
        <f t="shared" si="2"/>
        <v>0</v>
      </c>
      <c r="AB26" s="108">
        <f t="shared" si="3"/>
        <v>0</v>
      </c>
    </row>
    <row r="27">
      <c r="A27" s="199" t="s">
        <v>119</v>
      </c>
      <c r="B27" s="110" t="s">
        <v>121</v>
      </c>
      <c r="C27" s="110">
        <v>9.0</v>
      </c>
      <c r="D27" s="112" t="s">
        <v>53</v>
      </c>
      <c r="E27" s="110" t="s">
        <v>13</v>
      </c>
      <c r="F27" s="116" t="s">
        <v>122</v>
      </c>
      <c r="G27" s="30"/>
      <c r="H27" s="54"/>
      <c r="I27" s="55"/>
      <c r="J27" s="55"/>
      <c r="K27" s="55"/>
      <c r="L27" s="55"/>
      <c r="M27" s="55"/>
      <c r="N27" s="55"/>
      <c r="O27" s="55"/>
      <c r="P27" s="55"/>
      <c r="Q27" s="58">
        <f t="shared" si="1"/>
        <v>0</v>
      </c>
      <c r="R27" s="55"/>
      <c r="S27" s="55"/>
      <c r="T27" s="55"/>
      <c r="U27" s="55"/>
      <c r="V27" s="55"/>
      <c r="W27" s="55"/>
      <c r="X27" s="55"/>
      <c r="Y27" s="55"/>
      <c r="Z27" s="55"/>
      <c r="AA27" s="62">
        <f t="shared" si="2"/>
        <v>0</v>
      </c>
      <c r="AB27" s="65">
        <f t="shared" si="3"/>
        <v>0</v>
      </c>
    </row>
    <row r="28">
      <c r="A28" s="68"/>
      <c r="B28" s="214" t="s">
        <v>66</v>
      </c>
      <c r="C28" s="214">
        <v>12.0</v>
      </c>
      <c r="D28" s="216" t="s">
        <v>33</v>
      </c>
      <c r="E28" s="214" t="s">
        <v>13</v>
      </c>
      <c r="F28" s="68"/>
      <c r="G28" s="30"/>
      <c r="H28" s="74"/>
      <c r="I28" s="76"/>
      <c r="J28" s="76"/>
      <c r="K28" s="76"/>
      <c r="L28" s="76"/>
      <c r="M28" s="76"/>
      <c r="N28" s="76"/>
      <c r="O28" s="76"/>
      <c r="P28" s="76"/>
      <c r="Q28" s="58">
        <f t="shared" si="1"/>
        <v>0</v>
      </c>
      <c r="R28" s="76"/>
      <c r="S28" s="76"/>
      <c r="T28" s="76"/>
      <c r="U28" s="76"/>
      <c r="V28" s="76"/>
      <c r="W28" s="76"/>
      <c r="X28" s="76"/>
      <c r="Y28" s="76"/>
      <c r="Z28" s="76"/>
      <c r="AA28" s="62">
        <f t="shared" si="2"/>
        <v>0</v>
      </c>
      <c r="AB28" s="82">
        <f t="shared" si="3"/>
        <v>0</v>
      </c>
    </row>
    <row r="29">
      <c r="A29" s="68"/>
      <c r="B29" s="70" t="s">
        <v>115</v>
      </c>
      <c r="C29" s="70">
        <v>9.0</v>
      </c>
      <c r="D29" s="72" t="s">
        <v>37</v>
      </c>
      <c r="E29" s="70" t="s">
        <v>13</v>
      </c>
      <c r="F29" s="68"/>
      <c r="G29" s="30"/>
      <c r="H29" s="74"/>
      <c r="I29" s="76"/>
      <c r="J29" s="76"/>
      <c r="K29" s="76"/>
      <c r="L29" s="76"/>
      <c r="M29" s="76"/>
      <c r="N29" s="76"/>
      <c r="O29" s="76"/>
      <c r="P29" s="76"/>
      <c r="Q29" s="58">
        <f t="shared" si="1"/>
        <v>0</v>
      </c>
      <c r="R29" s="76"/>
      <c r="S29" s="76"/>
      <c r="T29" s="76"/>
      <c r="U29" s="76"/>
      <c r="V29" s="76"/>
      <c r="W29" s="76"/>
      <c r="X29" s="76"/>
      <c r="Y29" s="76"/>
      <c r="Z29" s="76"/>
      <c r="AA29" s="62">
        <f t="shared" si="2"/>
        <v>0</v>
      </c>
      <c r="AB29" s="82">
        <f t="shared" si="3"/>
        <v>0</v>
      </c>
    </row>
    <row r="30">
      <c r="A30" s="93"/>
      <c r="B30" s="270" t="s">
        <v>123</v>
      </c>
      <c r="C30" s="270">
        <v>12.0</v>
      </c>
      <c r="D30" s="271" t="s">
        <v>71</v>
      </c>
      <c r="E30" s="270" t="s">
        <v>13</v>
      </c>
      <c r="F30" s="93"/>
      <c r="G30" s="30"/>
      <c r="H30" s="74"/>
      <c r="I30" s="76"/>
      <c r="J30" s="76"/>
      <c r="K30" s="76"/>
      <c r="L30" s="76"/>
      <c r="M30" s="76"/>
      <c r="N30" s="76"/>
      <c r="O30" s="76"/>
      <c r="P30" s="76"/>
      <c r="Q30" s="58">
        <f t="shared" si="1"/>
        <v>0</v>
      </c>
      <c r="R30" s="76"/>
      <c r="S30" s="76"/>
      <c r="T30" s="76"/>
      <c r="U30" s="76"/>
      <c r="V30" s="76"/>
      <c r="W30" s="76"/>
      <c r="X30" s="76"/>
      <c r="Y30" s="76"/>
      <c r="Z30" s="76"/>
      <c r="AA30" s="62">
        <f t="shared" si="2"/>
        <v>0</v>
      </c>
      <c r="AB30" s="82">
        <f t="shared" si="3"/>
        <v>0</v>
      </c>
    </row>
    <row r="31">
      <c r="A31" s="199" t="s">
        <v>131</v>
      </c>
      <c r="B31" s="278" t="s">
        <v>14</v>
      </c>
      <c r="C31" s="278">
        <v>11.0</v>
      </c>
      <c r="D31" s="279" t="s">
        <v>12</v>
      </c>
      <c r="E31" s="278" t="s">
        <v>13</v>
      </c>
      <c r="F31" s="116" t="s">
        <v>132</v>
      </c>
      <c r="G31" s="30"/>
      <c r="H31" s="54"/>
      <c r="I31" s="55"/>
      <c r="J31" s="55"/>
      <c r="K31" s="55"/>
      <c r="L31" s="55"/>
      <c r="M31" s="55"/>
      <c r="N31" s="55"/>
      <c r="O31" s="55"/>
      <c r="P31" s="55"/>
      <c r="Q31" s="58">
        <f t="shared" si="1"/>
        <v>0</v>
      </c>
      <c r="R31" s="55"/>
      <c r="S31" s="55"/>
      <c r="T31" s="55"/>
      <c r="U31" s="55"/>
      <c r="V31" s="55"/>
      <c r="W31" s="55"/>
      <c r="X31" s="55"/>
      <c r="Y31" s="55"/>
      <c r="Z31" s="55"/>
      <c r="AA31" s="62">
        <f t="shared" si="2"/>
        <v>0</v>
      </c>
      <c r="AB31" s="65">
        <f t="shared" si="3"/>
        <v>0</v>
      </c>
    </row>
    <row r="32">
      <c r="A32" s="68"/>
      <c r="B32" s="214" t="s">
        <v>67</v>
      </c>
      <c r="C32" s="214">
        <v>9.0</v>
      </c>
      <c r="D32" s="216" t="s">
        <v>33</v>
      </c>
      <c r="E32" s="214" t="s">
        <v>13</v>
      </c>
      <c r="F32" s="68"/>
      <c r="G32" s="30"/>
      <c r="H32" s="74"/>
      <c r="I32" s="76"/>
      <c r="J32" s="76"/>
      <c r="K32" s="76"/>
      <c r="L32" s="76"/>
      <c r="M32" s="76"/>
      <c r="N32" s="76"/>
      <c r="O32" s="76"/>
      <c r="P32" s="76"/>
      <c r="Q32" s="58">
        <f t="shared" si="1"/>
        <v>0</v>
      </c>
      <c r="R32" s="76"/>
      <c r="S32" s="76"/>
      <c r="T32" s="76"/>
      <c r="U32" s="76"/>
      <c r="V32" s="76"/>
      <c r="W32" s="76"/>
      <c r="X32" s="76"/>
      <c r="Y32" s="76"/>
      <c r="Z32" s="76"/>
      <c r="AA32" s="62">
        <f t="shared" si="2"/>
        <v>0</v>
      </c>
      <c r="AB32" s="82">
        <f t="shared" si="3"/>
        <v>0</v>
      </c>
    </row>
    <row r="33">
      <c r="A33" s="68"/>
      <c r="B33" s="207" t="s">
        <v>58</v>
      </c>
      <c r="C33" s="207">
        <v>12.0</v>
      </c>
      <c r="D33" s="209" t="s">
        <v>47</v>
      </c>
      <c r="E33" s="207" t="s">
        <v>13</v>
      </c>
      <c r="F33" s="68"/>
      <c r="G33" s="30"/>
      <c r="H33" s="100"/>
      <c r="I33" s="102"/>
      <c r="J33" s="102"/>
      <c r="K33" s="102"/>
      <c r="L33" s="102"/>
      <c r="M33" s="102"/>
      <c r="N33" s="102"/>
      <c r="O33" s="102"/>
      <c r="P33" s="102"/>
      <c r="Q33" s="58">
        <f t="shared" si="1"/>
        <v>0</v>
      </c>
      <c r="R33" s="102"/>
      <c r="S33" s="102"/>
      <c r="T33" s="102"/>
      <c r="U33" s="102"/>
      <c r="V33" s="102"/>
      <c r="W33" s="102"/>
      <c r="X33" s="102"/>
      <c r="Y33" s="102"/>
      <c r="Z33" s="102"/>
      <c r="AA33" s="62">
        <f t="shared" si="2"/>
        <v>0</v>
      </c>
      <c r="AB33" s="108">
        <f t="shared" si="3"/>
        <v>0</v>
      </c>
    </row>
    <row r="34">
      <c r="A34" s="93"/>
      <c r="B34" s="280" t="s">
        <v>106</v>
      </c>
      <c r="C34" s="280">
        <v>10.0</v>
      </c>
      <c r="D34" s="281" t="s">
        <v>103</v>
      </c>
      <c r="E34" s="280" t="s">
        <v>13</v>
      </c>
      <c r="F34" s="93"/>
      <c r="G34" s="30"/>
      <c r="H34" s="54"/>
      <c r="I34" s="55"/>
      <c r="J34" s="55"/>
      <c r="K34" s="55"/>
      <c r="L34" s="55"/>
      <c r="M34" s="55"/>
      <c r="N34" s="55"/>
      <c r="O34" s="55"/>
      <c r="P34" s="55"/>
      <c r="Q34" s="58">
        <f t="shared" si="1"/>
        <v>0</v>
      </c>
      <c r="R34" s="55"/>
      <c r="S34" s="55"/>
      <c r="T34" s="55"/>
      <c r="U34" s="55"/>
      <c r="V34" s="55"/>
      <c r="W34" s="55"/>
      <c r="X34" s="55"/>
      <c r="Y34" s="55"/>
      <c r="Z34" s="55"/>
      <c r="AA34" s="62">
        <f t="shared" si="2"/>
        <v>0</v>
      </c>
      <c r="AB34" s="65">
        <f t="shared" si="3"/>
        <v>0</v>
      </c>
    </row>
    <row r="35">
      <c r="A35" s="199" t="s">
        <v>133</v>
      </c>
      <c r="B35" s="46" t="s">
        <v>70</v>
      </c>
      <c r="C35" s="46">
        <v>12.0</v>
      </c>
      <c r="D35" s="49" t="s">
        <v>33</v>
      </c>
      <c r="E35" s="46" t="s">
        <v>13</v>
      </c>
      <c r="F35" s="116" t="s">
        <v>134</v>
      </c>
      <c r="G35" s="30"/>
      <c r="H35" s="74"/>
      <c r="I35" s="76"/>
      <c r="J35" s="76"/>
      <c r="K35" s="76"/>
      <c r="L35" s="76"/>
      <c r="M35" s="76"/>
      <c r="N35" s="76"/>
      <c r="O35" s="76"/>
      <c r="P35" s="76"/>
      <c r="Q35" s="58">
        <f t="shared" si="1"/>
        <v>0</v>
      </c>
      <c r="R35" s="76"/>
      <c r="S35" s="76"/>
      <c r="T35" s="76"/>
      <c r="U35" s="76"/>
      <c r="V35" s="76"/>
      <c r="W35" s="76"/>
      <c r="X35" s="76"/>
      <c r="Y35" s="76"/>
      <c r="Z35" s="76"/>
      <c r="AA35" s="62">
        <f t="shared" si="2"/>
        <v>0</v>
      </c>
      <c r="AB35" s="82">
        <f t="shared" si="3"/>
        <v>0</v>
      </c>
    </row>
    <row r="36">
      <c r="A36" s="68"/>
      <c r="B36" s="207" t="s">
        <v>61</v>
      </c>
      <c r="C36" s="207">
        <v>12.0</v>
      </c>
      <c r="D36" s="209" t="s">
        <v>47</v>
      </c>
      <c r="E36" s="207" t="s">
        <v>13</v>
      </c>
      <c r="F36" s="68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282"/>
      <c r="AB36" s="282"/>
    </row>
    <row r="37">
      <c r="A37" s="68"/>
      <c r="B37" s="188" t="s">
        <v>23</v>
      </c>
      <c r="C37" s="188">
        <v>11.0</v>
      </c>
      <c r="D37" s="190" t="s">
        <v>22</v>
      </c>
      <c r="E37" s="188" t="s">
        <v>13</v>
      </c>
      <c r="F37" s="68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282"/>
      <c r="AB37" s="282"/>
    </row>
    <row r="38">
      <c r="A38" s="93"/>
      <c r="B38" s="283" t="s">
        <v>87</v>
      </c>
      <c r="C38" s="283">
        <v>10.0</v>
      </c>
      <c r="D38" s="284" t="s">
        <v>86</v>
      </c>
      <c r="E38" s="283" t="s">
        <v>13</v>
      </c>
      <c r="F38" s="93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282"/>
      <c r="AB38" s="282"/>
    </row>
    <row r="39">
      <c r="A39" s="199" t="s">
        <v>136</v>
      </c>
      <c r="B39" s="285" t="s">
        <v>104</v>
      </c>
      <c r="C39" s="285">
        <v>10.0</v>
      </c>
      <c r="D39" s="286" t="s">
        <v>103</v>
      </c>
      <c r="E39" s="285" t="s">
        <v>13</v>
      </c>
      <c r="F39" s="52" t="s">
        <v>137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282"/>
      <c r="AB39" s="282"/>
    </row>
    <row r="40">
      <c r="A40" s="68"/>
      <c r="B40" s="287" t="s">
        <v>77</v>
      </c>
      <c r="C40" s="287">
        <v>10.0</v>
      </c>
      <c r="D40" s="288" t="s">
        <v>79</v>
      </c>
      <c r="E40" s="287" t="s">
        <v>13</v>
      </c>
      <c r="F40" s="68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282"/>
      <c r="AB40" s="282"/>
    </row>
    <row r="41">
      <c r="A41" s="68"/>
      <c r="B41" s="188" t="s">
        <v>28</v>
      </c>
      <c r="C41" s="188">
        <v>11.0</v>
      </c>
      <c r="D41" s="190" t="s">
        <v>22</v>
      </c>
      <c r="E41" s="188" t="s">
        <v>13</v>
      </c>
      <c r="F41" s="68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282"/>
      <c r="AB41" s="282"/>
    </row>
    <row r="42">
      <c r="A42" s="93"/>
      <c r="B42" s="283" t="s">
        <v>90</v>
      </c>
      <c r="C42" s="283">
        <v>9.0</v>
      </c>
      <c r="D42" s="284" t="s">
        <v>86</v>
      </c>
      <c r="E42" s="283" t="s">
        <v>13</v>
      </c>
      <c r="F42" s="93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282"/>
      <c r="AB42" s="282"/>
    </row>
    <row r="43">
      <c r="A43" s="199" t="s">
        <v>138</v>
      </c>
      <c r="B43" s="289" t="s">
        <v>95</v>
      </c>
      <c r="C43" s="290">
        <v>11.0</v>
      </c>
      <c r="D43" s="291" t="s">
        <v>97</v>
      </c>
      <c r="E43" s="292" t="s">
        <v>13</v>
      </c>
      <c r="F43" s="116" t="s">
        <v>139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282"/>
      <c r="AB43" s="282"/>
    </row>
    <row r="44">
      <c r="A44" s="68"/>
      <c r="B44" s="293" t="s">
        <v>108</v>
      </c>
      <c r="C44" s="294">
        <v>10.0</v>
      </c>
      <c r="D44" s="295" t="s">
        <v>103</v>
      </c>
      <c r="E44" s="296" t="s">
        <v>13</v>
      </c>
      <c r="F44" s="68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282"/>
      <c r="AB44" s="282"/>
    </row>
    <row r="45">
      <c r="A45" s="68"/>
      <c r="B45" s="297" t="s">
        <v>29</v>
      </c>
      <c r="C45" s="188">
        <v>12.0</v>
      </c>
      <c r="D45" s="190" t="s">
        <v>22</v>
      </c>
      <c r="E45" s="298" t="s">
        <v>13</v>
      </c>
      <c r="F45" s="68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282"/>
      <c r="AB45" s="282"/>
    </row>
    <row r="46">
      <c r="A46" s="93"/>
      <c r="B46" s="299" t="s">
        <v>124</v>
      </c>
      <c r="C46" s="270">
        <v>12.0</v>
      </c>
      <c r="D46" s="271" t="s">
        <v>71</v>
      </c>
      <c r="E46" s="300" t="s">
        <v>13</v>
      </c>
      <c r="F46" s="93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282"/>
      <c r="AB46" s="282"/>
    </row>
    <row r="47">
      <c r="A47" s="199" t="s">
        <v>141</v>
      </c>
      <c r="B47" s="301" t="s">
        <v>15</v>
      </c>
      <c r="C47" s="278">
        <v>12.0</v>
      </c>
      <c r="D47" s="279" t="s">
        <v>12</v>
      </c>
      <c r="E47" s="302" t="s">
        <v>13</v>
      </c>
      <c r="F47" s="116" t="s">
        <v>142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282"/>
      <c r="AB47" s="282"/>
    </row>
    <row r="48">
      <c r="A48" s="68"/>
      <c r="B48" s="303" t="s">
        <v>85</v>
      </c>
      <c r="C48" s="304">
        <v>12.0</v>
      </c>
      <c r="D48" s="305" t="s">
        <v>86</v>
      </c>
      <c r="E48" s="306" t="s">
        <v>13</v>
      </c>
      <c r="F48" s="68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282"/>
      <c r="AB48" s="282"/>
    </row>
    <row r="49">
      <c r="A49" s="68"/>
      <c r="B49" s="293" t="s">
        <v>102</v>
      </c>
      <c r="C49" s="294">
        <v>12.0</v>
      </c>
      <c r="D49" s="295" t="s">
        <v>103</v>
      </c>
      <c r="E49" s="296" t="s">
        <v>13</v>
      </c>
      <c r="F49" s="68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282"/>
      <c r="AB49" s="282"/>
    </row>
    <row r="50">
      <c r="A50" s="93"/>
      <c r="B50" s="307" t="s">
        <v>31</v>
      </c>
      <c r="C50" s="308">
        <v>11.0</v>
      </c>
      <c r="D50" s="309" t="s">
        <v>22</v>
      </c>
      <c r="E50" s="310" t="s">
        <v>13</v>
      </c>
      <c r="F50" s="93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282"/>
      <c r="AB50" s="282"/>
    </row>
    <row r="51">
      <c r="A51" s="311"/>
      <c r="B51" s="312"/>
      <c r="C51" s="312"/>
      <c r="D51" s="312"/>
      <c r="E51" s="312"/>
      <c r="F51" s="313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282"/>
      <c r="AB51" s="282"/>
    </row>
    <row r="52">
      <c r="A52" s="314" t="s">
        <v>143</v>
      </c>
      <c r="B52" s="136" t="s">
        <v>46</v>
      </c>
      <c r="C52" s="315">
        <v>12.0</v>
      </c>
      <c r="D52" s="139" t="s">
        <v>39</v>
      </c>
      <c r="E52" s="315" t="s">
        <v>19</v>
      </c>
      <c r="F52" s="116" t="s">
        <v>144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282"/>
      <c r="AB52" s="282"/>
    </row>
    <row r="53">
      <c r="A53" s="68"/>
      <c r="B53" s="151" t="s">
        <v>120</v>
      </c>
      <c r="C53" s="316">
        <v>12.0</v>
      </c>
      <c r="D53" s="153" t="s">
        <v>71</v>
      </c>
      <c r="E53" s="316" t="s">
        <v>19</v>
      </c>
      <c r="F53" s="68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282"/>
      <c r="AB53" s="282"/>
    </row>
    <row r="54">
      <c r="A54" s="68"/>
      <c r="B54" s="188" t="s">
        <v>32</v>
      </c>
      <c r="C54" s="317">
        <v>12.0</v>
      </c>
      <c r="D54" s="190" t="s">
        <v>22</v>
      </c>
      <c r="E54" s="317" t="s">
        <v>19</v>
      </c>
      <c r="F54" s="68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282"/>
      <c r="AB54" s="282"/>
    </row>
    <row r="55">
      <c r="A55" s="93"/>
      <c r="B55" s="318" t="s">
        <v>72</v>
      </c>
      <c r="C55" s="319">
        <v>11.0</v>
      </c>
      <c r="D55" s="320" t="s">
        <v>33</v>
      </c>
      <c r="E55" s="319" t="s">
        <v>19</v>
      </c>
      <c r="F55" s="93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282"/>
      <c r="AB55" s="282"/>
    </row>
    <row r="56">
      <c r="A56" s="321" t="s">
        <v>145</v>
      </c>
      <c r="B56" s="322" t="s">
        <v>127</v>
      </c>
      <c r="C56" s="323">
        <v>10.0</v>
      </c>
      <c r="D56" s="324" t="s">
        <v>71</v>
      </c>
      <c r="E56" s="323" t="s">
        <v>19</v>
      </c>
      <c r="F56" s="116" t="s">
        <v>146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282"/>
      <c r="AB56" s="282"/>
    </row>
    <row r="57">
      <c r="A57" s="68"/>
      <c r="B57" s="188" t="s">
        <v>35</v>
      </c>
      <c r="C57" s="325">
        <v>12.0</v>
      </c>
      <c r="D57" s="190" t="s">
        <v>22</v>
      </c>
      <c r="E57" s="317" t="s">
        <v>19</v>
      </c>
      <c r="F57" s="68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282"/>
      <c r="AB57" s="282"/>
    </row>
    <row r="58">
      <c r="A58" s="68"/>
      <c r="B58" s="214" t="s">
        <v>73</v>
      </c>
      <c r="C58" s="326">
        <v>10.0</v>
      </c>
      <c r="D58" s="216" t="s">
        <v>33</v>
      </c>
      <c r="E58" s="326" t="s">
        <v>19</v>
      </c>
      <c r="F58" s="68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282"/>
      <c r="AB58" s="282"/>
    </row>
    <row r="59">
      <c r="A59" s="93"/>
      <c r="B59" s="166" t="s">
        <v>118</v>
      </c>
      <c r="C59" s="166">
        <v>11.0</v>
      </c>
      <c r="D59" s="168" t="s">
        <v>37</v>
      </c>
      <c r="E59" s="327" t="s">
        <v>19</v>
      </c>
      <c r="F59" s="93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282"/>
      <c r="AB59" s="282"/>
    </row>
    <row r="60">
      <c r="A60" s="45" t="s">
        <v>149</v>
      </c>
      <c r="B60" s="111" t="s">
        <v>51</v>
      </c>
      <c r="C60" s="105">
        <v>11.0</v>
      </c>
      <c r="D60" s="109" t="s">
        <v>39</v>
      </c>
      <c r="E60" s="114" t="s">
        <v>19</v>
      </c>
      <c r="F60" s="116" t="s">
        <v>150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282"/>
      <c r="AB60" s="282"/>
    </row>
    <row r="61">
      <c r="A61" s="68"/>
      <c r="B61" s="330" t="s">
        <v>18</v>
      </c>
      <c r="C61" s="331">
        <v>9.0</v>
      </c>
      <c r="D61" s="333" t="s">
        <v>12</v>
      </c>
      <c r="E61" s="334" t="s">
        <v>19</v>
      </c>
      <c r="F61" s="68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282"/>
      <c r="AB61" s="282"/>
    </row>
    <row r="62">
      <c r="A62" s="68"/>
      <c r="B62" s="335" t="s">
        <v>130</v>
      </c>
      <c r="C62" s="162">
        <v>9.0</v>
      </c>
      <c r="D62" s="163" t="s">
        <v>53</v>
      </c>
      <c r="E62" s="336" t="s">
        <v>19</v>
      </c>
      <c r="F62" s="68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282"/>
      <c r="AB62" s="282"/>
    </row>
    <row r="63">
      <c r="A63" s="93"/>
      <c r="B63" s="337" t="s">
        <v>75</v>
      </c>
      <c r="C63" s="338">
        <v>9.0</v>
      </c>
      <c r="D63" s="339" t="s">
        <v>33</v>
      </c>
      <c r="E63" s="340" t="s">
        <v>19</v>
      </c>
      <c r="F63" s="93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282"/>
      <c r="AB63" s="282"/>
    </row>
    <row r="64">
      <c r="A64" s="45" t="s">
        <v>151</v>
      </c>
      <c r="B64" s="343" t="s">
        <v>49</v>
      </c>
      <c r="C64" s="136">
        <v>11.0</v>
      </c>
      <c r="D64" s="139" t="s">
        <v>39</v>
      </c>
      <c r="E64" s="344" t="s">
        <v>19</v>
      </c>
      <c r="F64" s="116" t="s">
        <v>152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282"/>
      <c r="AB64" s="282"/>
    </row>
    <row r="65">
      <c r="A65" s="68"/>
      <c r="B65" s="345" t="s">
        <v>129</v>
      </c>
      <c r="C65" s="151">
        <v>10.0</v>
      </c>
      <c r="D65" s="153" t="s">
        <v>71</v>
      </c>
      <c r="E65" s="346" t="s">
        <v>19</v>
      </c>
      <c r="F65" s="68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282"/>
      <c r="AB65" s="282"/>
    </row>
    <row r="66">
      <c r="A66" s="68"/>
      <c r="B66" s="347" t="s">
        <v>62</v>
      </c>
      <c r="C66" s="348">
        <v>11.0</v>
      </c>
      <c r="D66" s="349" t="s">
        <v>47</v>
      </c>
      <c r="E66" s="350" t="s">
        <v>19</v>
      </c>
      <c r="F66" s="68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282"/>
      <c r="AB66" s="282"/>
    </row>
    <row r="67">
      <c r="A67" s="93"/>
      <c r="B67" s="351"/>
      <c r="C67" s="352"/>
      <c r="D67" s="353"/>
      <c r="E67" s="354"/>
      <c r="F67" s="93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282"/>
      <c r="AB67" s="282"/>
    </row>
    <row r="68">
      <c r="A68" s="45" t="s">
        <v>153</v>
      </c>
      <c r="B68" s="355" t="s">
        <v>55</v>
      </c>
      <c r="C68" s="356">
        <v>9.0</v>
      </c>
      <c r="D68" s="357" t="s">
        <v>39</v>
      </c>
      <c r="E68" s="358" t="s">
        <v>19</v>
      </c>
      <c r="F68" s="359" t="s">
        <v>154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282"/>
      <c r="AB68" s="282"/>
    </row>
    <row r="69">
      <c r="A69" s="68"/>
      <c r="B69" s="360" t="s">
        <v>76</v>
      </c>
      <c r="C69" s="141">
        <v>12.0</v>
      </c>
      <c r="D69" s="145" t="s">
        <v>33</v>
      </c>
      <c r="E69" s="361" t="s">
        <v>19</v>
      </c>
      <c r="F69" s="68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282"/>
      <c r="AB69" s="282"/>
    </row>
    <row r="70">
      <c r="A70" s="68"/>
      <c r="B70" s="345" t="s">
        <v>128</v>
      </c>
      <c r="C70" s="151">
        <v>11.0</v>
      </c>
      <c r="D70" s="153" t="s">
        <v>71</v>
      </c>
      <c r="E70" s="346" t="s">
        <v>19</v>
      </c>
      <c r="F70" s="68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282"/>
      <c r="AB70" s="282"/>
    </row>
    <row r="71">
      <c r="A71" s="93"/>
      <c r="B71" s="362"/>
      <c r="C71" s="363"/>
      <c r="D71" s="363"/>
      <c r="E71" s="364"/>
      <c r="F71" s="93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282"/>
      <c r="AB71" s="282"/>
    </row>
    <row r="72">
      <c r="A72" s="365" t="s">
        <v>155</v>
      </c>
      <c r="B72" s="366"/>
      <c r="C72" s="366"/>
      <c r="D72" s="366"/>
      <c r="E72" s="367"/>
      <c r="F72" s="368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282"/>
      <c r="AB72" s="282"/>
    </row>
    <row r="73">
      <c r="A73" s="68"/>
      <c r="B73" s="369"/>
      <c r="C73" s="369"/>
      <c r="D73" s="369"/>
      <c r="E73" s="370"/>
      <c r="F73" s="68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282"/>
      <c r="AB73" s="282"/>
    </row>
    <row r="74">
      <c r="A74" s="68"/>
      <c r="B74" s="369"/>
      <c r="C74" s="369"/>
      <c r="D74" s="369"/>
      <c r="E74" s="370"/>
      <c r="F74" s="68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282"/>
      <c r="AB74" s="282"/>
    </row>
    <row r="75">
      <c r="A75" s="93"/>
      <c r="B75" s="363"/>
      <c r="C75" s="363"/>
      <c r="D75" s="363"/>
      <c r="E75" s="364"/>
      <c r="F75" s="93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282"/>
      <c r="AB75" s="282"/>
    </row>
    <row r="76">
      <c r="A76" s="45" t="s">
        <v>157</v>
      </c>
      <c r="B76" s="278" t="s">
        <v>16</v>
      </c>
      <c r="C76" s="278">
        <v>12.0</v>
      </c>
      <c r="D76" s="279" t="s">
        <v>12</v>
      </c>
      <c r="E76" s="278" t="s">
        <v>13</v>
      </c>
      <c r="F76" s="52" t="s">
        <v>158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282"/>
      <c r="AB76" s="282"/>
    </row>
    <row r="77">
      <c r="A77" s="68"/>
      <c r="B77" s="304" t="s">
        <v>91</v>
      </c>
      <c r="C77" s="304">
        <v>10.0</v>
      </c>
      <c r="D77" s="305" t="s">
        <v>86</v>
      </c>
      <c r="E77" s="304" t="s">
        <v>13</v>
      </c>
      <c r="F77" s="68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282"/>
      <c r="AB77" s="282"/>
    </row>
    <row r="78">
      <c r="A78" s="68"/>
      <c r="B78" s="294" t="s">
        <v>107</v>
      </c>
      <c r="C78" s="294">
        <v>12.0</v>
      </c>
      <c r="D78" s="295" t="s">
        <v>103</v>
      </c>
      <c r="E78" s="294" t="s">
        <v>13</v>
      </c>
      <c r="F78" s="68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282"/>
      <c r="AB78" s="282"/>
    </row>
    <row r="79">
      <c r="A79" s="93"/>
      <c r="B79" s="371" t="s">
        <v>99</v>
      </c>
      <c r="C79" s="371">
        <v>12.0</v>
      </c>
      <c r="D79" s="372" t="s">
        <v>97</v>
      </c>
      <c r="E79" s="371" t="s">
        <v>13</v>
      </c>
      <c r="F79" s="93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282"/>
      <c r="AB79" s="282"/>
    </row>
    <row r="80">
      <c r="A80" s="199" t="s">
        <v>161</v>
      </c>
      <c r="B80" s="373" t="s">
        <v>92</v>
      </c>
      <c r="C80" s="373">
        <v>12.0</v>
      </c>
      <c r="D80" s="374" t="s">
        <v>86</v>
      </c>
      <c r="E80" s="373" t="s">
        <v>13</v>
      </c>
      <c r="F80" s="52" t="s">
        <v>162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282"/>
      <c r="AB80" s="282"/>
    </row>
    <row r="81">
      <c r="A81" s="68"/>
      <c r="B81" s="287" t="s">
        <v>80</v>
      </c>
      <c r="C81" s="287">
        <v>11.0</v>
      </c>
      <c r="D81" s="288" t="s">
        <v>79</v>
      </c>
      <c r="E81" s="287" t="s">
        <v>13</v>
      </c>
      <c r="F81" s="68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282"/>
      <c r="AB81" s="282"/>
    </row>
    <row r="82">
      <c r="A82" s="68"/>
      <c r="B82" s="294" t="s">
        <v>110</v>
      </c>
      <c r="C82" s="294">
        <v>10.0</v>
      </c>
      <c r="D82" s="295" t="s">
        <v>103</v>
      </c>
      <c r="E82" s="294" t="s">
        <v>13</v>
      </c>
      <c r="F82" s="68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282"/>
      <c r="AB82" s="282"/>
    </row>
    <row r="83">
      <c r="A83" s="93"/>
      <c r="B83" s="270" t="s">
        <v>125</v>
      </c>
      <c r="C83" s="379"/>
      <c r="D83" s="271" t="s">
        <v>71</v>
      </c>
      <c r="E83" s="270" t="s">
        <v>13</v>
      </c>
      <c r="F83" s="93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282"/>
      <c r="AB83" s="282"/>
    </row>
    <row r="84">
      <c r="A84" s="380" t="s">
        <v>163</v>
      </c>
      <c r="B84" s="373" t="s">
        <v>93</v>
      </c>
      <c r="C84" s="373">
        <v>12.0</v>
      </c>
      <c r="D84" s="374" t="s">
        <v>86</v>
      </c>
      <c r="E84" s="373" t="s">
        <v>13</v>
      </c>
      <c r="F84" s="381" t="s">
        <v>164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282"/>
      <c r="AB84" s="282"/>
    </row>
    <row r="85">
      <c r="A85" s="383"/>
      <c r="B85" s="85" t="s">
        <v>44</v>
      </c>
      <c r="C85" s="85">
        <v>10.0</v>
      </c>
      <c r="D85" s="88" t="s">
        <v>39</v>
      </c>
      <c r="E85" s="85" t="s">
        <v>13</v>
      </c>
      <c r="F85" s="384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282"/>
      <c r="AB85" s="282"/>
    </row>
    <row r="86">
      <c r="A86" s="383"/>
      <c r="B86" s="387" t="s">
        <v>100</v>
      </c>
      <c r="C86" s="387">
        <v>11.0</v>
      </c>
      <c r="D86" s="389" t="s">
        <v>101</v>
      </c>
      <c r="E86" s="387" t="s">
        <v>13</v>
      </c>
      <c r="F86" s="384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282"/>
      <c r="AB86" s="282"/>
    </row>
    <row r="87">
      <c r="A87" s="390"/>
      <c r="B87" s="270" t="s">
        <v>126</v>
      </c>
      <c r="C87" s="379"/>
      <c r="D87" s="271" t="s">
        <v>71</v>
      </c>
      <c r="E87" s="270" t="s">
        <v>13</v>
      </c>
      <c r="F87" s="391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282"/>
      <c r="AB87" s="282"/>
    </row>
    <row r="88">
      <c r="A88" s="380" t="s">
        <v>165</v>
      </c>
      <c r="B88" s="392" t="s">
        <v>81</v>
      </c>
      <c r="C88" s="392">
        <v>9.0</v>
      </c>
      <c r="D88" s="393" t="s">
        <v>83</v>
      </c>
      <c r="E88" s="392" t="s">
        <v>13</v>
      </c>
      <c r="F88" s="381" t="s">
        <v>166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282"/>
      <c r="AB88" s="282"/>
    </row>
    <row r="89">
      <c r="A89" s="383"/>
      <c r="B89" s="85" t="s">
        <v>43</v>
      </c>
      <c r="C89" s="85">
        <v>11.0</v>
      </c>
      <c r="D89" s="88" t="s">
        <v>39</v>
      </c>
      <c r="E89" s="85" t="s">
        <v>13</v>
      </c>
      <c r="F89" s="384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282"/>
      <c r="AB89" s="282"/>
    </row>
    <row r="90">
      <c r="A90" s="383"/>
      <c r="B90" s="395"/>
      <c r="C90" s="395"/>
      <c r="D90" s="396"/>
      <c r="E90" s="395"/>
      <c r="F90" s="384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282"/>
      <c r="AB90" s="282"/>
    </row>
    <row r="91">
      <c r="A91" s="390"/>
      <c r="B91" s="397"/>
      <c r="C91" s="397"/>
      <c r="D91" s="397"/>
      <c r="E91" s="397"/>
      <c r="F91" s="391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282"/>
      <c r="AB91" s="282"/>
    </row>
    <row r="92">
      <c r="A92" s="398"/>
      <c r="B92" s="399"/>
      <c r="C92" s="399"/>
      <c r="D92" s="400"/>
      <c r="E92" s="400"/>
      <c r="F92" s="40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282"/>
      <c r="AB92" s="282"/>
    </row>
    <row r="93">
      <c r="A93" s="401"/>
      <c r="B93" s="402"/>
      <c r="C93" s="402"/>
      <c r="D93" s="403" t="s">
        <v>167</v>
      </c>
      <c r="E93" s="404"/>
      <c r="F93" s="405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282"/>
      <c r="AB93" s="282"/>
    </row>
    <row r="94">
      <c r="A94" s="402"/>
      <c r="B94" s="402"/>
      <c r="C94" s="402"/>
      <c r="D94" s="406"/>
      <c r="E94" s="407" t="s">
        <v>168</v>
      </c>
      <c r="F94" s="408"/>
      <c r="G94" s="409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282"/>
      <c r="AB94" s="282"/>
    </row>
    <row r="95">
      <c r="A95" s="402"/>
      <c r="B95" s="402"/>
      <c r="C95" s="402"/>
      <c r="D95" s="406" t="s">
        <v>169</v>
      </c>
      <c r="E95" s="407">
        <v>5.0</v>
      </c>
      <c r="F95" s="410"/>
      <c r="G95" s="409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282"/>
      <c r="AB95" s="282"/>
    </row>
    <row r="96">
      <c r="A96" s="30"/>
      <c r="B96" s="30"/>
      <c r="C96" s="30"/>
      <c r="D96" s="411" t="s">
        <v>172</v>
      </c>
      <c r="E96" s="412">
        <v>6.0</v>
      </c>
      <c r="F96" s="410"/>
      <c r="G96" s="409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282"/>
      <c r="AB96" s="282"/>
    </row>
    <row r="97">
      <c r="A97" s="30"/>
      <c r="B97" s="30"/>
      <c r="C97" s="30"/>
      <c r="D97" s="413"/>
      <c r="E97" s="412">
        <v>7.0</v>
      </c>
      <c r="F97" s="410"/>
      <c r="G97" s="409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282"/>
      <c r="AB97" s="282"/>
    </row>
    <row r="98">
      <c r="A98" s="30"/>
      <c r="B98" s="30"/>
      <c r="C98" s="30"/>
      <c r="D98" s="406" t="s">
        <v>173</v>
      </c>
      <c r="E98" s="412">
        <v>10.0</v>
      </c>
      <c r="F98" s="410"/>
      <c r="G98" s="409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282"/>
      <c r="AB98" s="282"/>
    </row>
    <row r="99">
      <c r="A99" s="30"/>
      <c r="B99" s="30"/>
      <c r="C99" s="30"/>
      <c r="D99" s="406" t="s">
        <v>174</v>
      </c>
      <c r="E99" s="412">
        <v>12.0</v>
      </c>
      <c r="F99" s="410"/>
      <c r="G99" s="409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282"/>
      <c r="AB99" s="282"/>
    </row>
    <row r="100">
      <c r="A100" s="30"/>
      <c r="B100" s="30"/>
      <c r="C100" s="30"/>
      <c r="D100" s="406" t="s">
        <v>175</v>
      </c>
      <c r="E100" s="412" t="s">
        <v>176</v>
      </c>
      <c r="F100" s="410"/>
      <c r="G100" s="409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282"/>
      <c r="AB100" s="282"/>
    </row>
    <row r="101">
      <c r="A101" s="30"/>
      <c r="B101" s="30"/>
      <c r="C101" s="30"/>
      <c r="D101" s="414" t="s">
        <v>177</v>
      </c>
      <c r="E101" s="415" t="s">
        <v>178</v>
      </c>
      <c r="F101" s="410"/>
      <c r="G101" s="409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282"/>
      <c r="AB101" s="282"/>
    </row>
    <row r="102">
      <c r="A102" s="30"/>
      <c r="B102" s="30"/>
      <c r="C102" s="30"/>
      <c r="F102" s="410"/>
      <c r="G102" s="409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282"/>
      <c r="AB102" s="282"/>
    </row>
    <row r="103">
      <c r="A103" s="30"/>
      <c r="B103" s="30"/>
      <c r="C103" s="30"/>
      <c r="D103" s="416"/>
      <c r="E103" s="416"/>
      <c r="F103" s="410"/>
      <c r="G103" s="409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282"/>
      <c r="AB103" s="282"/>
    </row>
    <row r="104">
      <c r="A104" s="30"/>
      <c r="B104" s="30"/>
      <c r="C104" s="30"/>
      <c r="D104" s="416"/>
      <c r="E104" s="416"/>
      <c r="F104" s="410"/>
      <c r="G104" s="409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282"/>
      <c r="AB104" s="282"/>
    </row>
    <row r="105">
      <c r="A105" s="30"/>
      <c r="B105" s="30"/>
      <c r="C105" s="30"/>
      <c r="D105" s="416"/>
      <c r="E105" s="416"/>
      <c r="F105" s="410"/>
      <c r="G105" s="409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282"/>
      <c r="AB105" s="282"/>
    </row>
    <row r="106">
      <c r="A106" s="30"/>
      <c r="B106" s="30"/>
      <c r="C106" s="30"/>
      <c r="D106" s="416"/>
      <c r="E106" s="416"/>
      <c r="F106" s="410"/>
      <c r="G106" s="409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282"/>
      <c r="AB106" s="282"/>
    </row>
    <row r="107">
      <c r="A107" s="30"/>
      <c r="B107" s="30"/>
      <c r="C107" s="30"/>
      <c r="D107" s="416"/>
      <c r="E107" s="416"/>
      <c r="F107" s="410"/>
      <c r="G107" s="409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282"/>
      <c r="AB107" s="282"/>
    </row>
    <row r="108">
      <c r="A108" s="30"/>
      <c r="B108" s="30"/>
      <c r="C108" s="30"/>
      <c r="D108" s="416"/>
      <c r="E108" s="416"/>
      <c r="F108" s="410"/>
      <c r="G108" s="409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282"/>
      <c r="AB108" s="282"/>
    </row>
    <row r="109">
      <c r="A109" s="30"/>
      <c r="B109" s="30"/>
      <c r="C109" s="30"/>
      <c r="D109" s="416"/>
      <c r="E109" s="416"/>
      <c r="G109" s="409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282"/>
      <c r="AB109" s="282"/>
    </row>
    <row r="110">
      <c r="A110" s="30"/>
      <c r="B110" s="30"/>
      <c r="C110" s="30"/>
      <c r="D110" s="416"/>
      <c r="E110" s="416"/>
      <c r="F110" s="410"/>
      <c r="G110" s="409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282"/>
      <c r="AB110" s="282"/>
    </row>
    <row r="111">
      <c r="A111" s="30"/>
      <c r="B111" s="30"/>
      <c r="C111" s="30"/>
      <c r="D111" s="416"/>
      <c r="E111" s="416"/>
      <c r="F111" s="410"/>
      <c r="G111" s="409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282"/>
      <c r="AB111" s="282"/>
    </row>
    <row r="112">
      <c r="A112" s="30"/>
      <c r="B112" s="30"/>
      <c r="C112" s="30"/>
      <c r="D112" s="416"/>
      <c r="E112" s="416"/>
      <c r="F112" s="410"/>
      <c r="G112" s="409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282"/>
      <c r="AB112" s="282"/>
    </row>
    <row r="113">
      <c r="A113" s="30"/>
      <c r="B113" s="30"/>
      <c r="C113" s="30"/>
      <c r="D113" s="416"/>
      <c r="E113" s="416"/>
      <c r="F113" s="410"/>
      <c r="G113" s="409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282"/>
      <c r="AB113" s="282"/>
    </row>
    <row r="114">
      <c r="A114" s="30"/>
      <c r="B114" s="30"/>
      <c r="C114" s="30"/>
      <c r="D114" s="416"/>
      <c r="E114" s="416"/>
      <c r="F114" s="410"/>
      <c r="G114" s="409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282"/>
      <c r="AB114" s="282"/>
    </row>
    <row r="115">
      <c r="A115" s="30"/>
      <c r="B115" s="30"/>
      <c r="C115" s="30"/>
      <c r="D115" s="416"/>
      <c r="E115" s="416"/>
      <c r="F115" s="416"/>
      <c r="G115" s="409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282"/>
      <c r="AB115" s="282"/>
    </row>
    <row r="116">
      <c r="A116" s="30"/>
      <c r="B116" s="30"/>
      <c r="C116" s="30"/>
      <c r="D116" s="416"/>
      <c r="E116" s="416"/>
      <c r="F116" s="416"/>
      <c r="G116" s="409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282"/>
      <c r="AB116" s="282"/>
    </row>
  </sheetData>
  <mergeCells count="47">
    <mergeCell ref="A1:F1"/>
    <mergeCell ref="H1:AB1"/>
    <mergeCell ref="A3:A6"/>
    <mergeCell ref="F3:F6"/>
    <mergeCell ref="A7:A10"/>
    <mergeCell ref="F7:F10"/>
    <mergeCell ref="F11:F14"/>
    <mergeCell ref="F23:F26"/>
    <mergeCell ref="F27:F30"/>
    <mergeCell ref="A11:A14"/>
    <mergeCell ref="A15:A18"/>
    <mergeCell ref="F15:F18"/>
    <mergeCell ref="A19:A22"/>
    <mergeCell ref="A23:A26"/>
    <mergeCell ref="A27:A30"/>
    <mergeCell ref="A31:A34"/>
    <mergeCell ref="A35:A38"/>
    <mergeCell ref="F35:F38"/>
    <mergeCell ref="A39:A42"/>
    <mergeCell ref="F39:F42"/>
    <mergeCell ref="A43:A46"/>
    <mergeCell ref="F43:F46"/>
    <mergeCell ref="F47:F50"/>
    <mergeCell ref="F72:F75"/>
    <mergeCell ref="F76:F79"/>
    <mergeCell ref="F80:F83"/>
    <mergeCell ref="F84:F87"/>
    <mergeCell ref="F88:F91"/>
    <mergeCell ref="D93:E93"/>
    <mergeCell ref="F19:F22"/>
    <mergeCell ref="F31:F34"/>
    <mergeCell ref="F52:F55"/>
    <mergeCell ref="F56:F59"/>
    <mergeCell ref="F60:F63"/>
    <mergeCell ref="F64:F67"/>
    <mergeCell ref="F68:F71"/>
    <mergeCell ref="A76:A79"/>
    <mergeCell ref="A80:A83"/>
    <mergeCell ref="A84:A87"/>
    <mergeCell ref="A88:A91"/>
    <mergeCell ref="A47:A50"/>
    <mergeCell ref="A52:A55"/>
    <mergeCell ref="A56:A59"/>
    <mergeCell ref="A60:A63"/>
    <mergeCell ref="A64:A67"/>
    <mergeCell ref="A68:A71"/>
    <mergeCell ref="A72:A75"/>
  </mergeCells>
  <printOptions gridLines="1" horizontalCentered="1"/>
  <pageMargins bottom="0.75" footer="0.0" header="0.0" left="0.25" right="0.25" top="0.75"/>
  <pageSetup scale="7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3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PAIRINGS!F3</f>
        <v>Schlossberg (SR)</v>
      </c>
      <c r="B2" s="34" t="str">
        <f>PAIRINGS!A3</f>
        <v>1A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56"/>
      <c r="M5" s="16"/>
    </row>
    <row r="6" ht="30.0" customHeight="1">
      <c r="A6" s="57" t="str">
        <f>PAIRINGS!B3</f>
        <v>Ty Swann</v>
      </c>
      <c r="B6" s="59" t="str">
        <f>PAIRINGS!D3</f>
        <v>Crofton</v>
      </c>
      <c r="C6" s="61">
        <v>5.0</v>
      </c>
      <c r="D6" s="61">
        <v>3.0</v>
      </c>
      <c r="E6" s="61">
        <v>4.0</v>
      </c>
      <c r="F6" s="61">
        <v>3.0</v>
      </c>
      <c r="G6" s="61">
        <v>4.0</v>
      </c>
      <c r="H6" s="61">
        <v>4.0</v>
      </c>
      <c r="I6" s="61">
        <v>5.0</v>
      </c>
      <c r="J6" s="61">
        <v>4.0</v>
      </c>
      <c r="K6" s="61">
        <v>5.0</v>
      </c>
      <c r="L6" s="71">
        <f t="shared" ref="L6:L9" si="1">SUM(C6:K6)</f>
        <v>37</v>
      </c>
      <c r="M6" s="16"/>
    </row>
    <row r="7" ht="30.0" customHeight="1">
      <c r="A7" s="78" t="str">
        <f>PAIRINGS!B4</f>
        <v>Davis Balderston</v>
      </c>
      <c r="B7" s="83" t="str">
        <f>PAIRINGS!D4</f>
        <v>Severna Park</v>
      </c>
      <c r="C7" s="86">
        <v>5.0</v>
      </c>
      <c r="D7" s="86">
        <v>3.0</v>
      </c>
      <c r="E7" s="86">
        <v>4.0</v>
      </c>
      <c r="F7" s="86">
        <v>3.0</v>
      </c>
      <c r="G7" s="86">
        <v>4.0</v>
      </c>
      <c r="H7" s="86">
        <v>3.0</v>
      </c>
      <c r="I7" s="86">
        <v>5.0</v>
      </c>
      <c r="J7" s="86">
        <v>4.0</v>
      </c>
      <c r="K7" s="86">
        <v>3.0</v>
      </c>
      <c r="L7" s="71">
        <f t="shared" si="1"/>
        <v>34</v>
      </c>
      <c r="M7" s="16"/>
    </row>
    <row r="8" ht="30.0" customHeight="1">
      <c r="A8" s="78" t="str">
        <f>PAIRINGS!B5</f>
        <v>James Jonker</v>
      </c>
      <c r="B8" s="91" t="str">
        <f>PAIRINGS!D5</f>
        <v>Broadneck</v>
      </c>
      <c r="C8" s="86">
        <v>5.0</v>
      </c>
      <c r="D8" s="86">
        <v>3.0</v>
      </c>
      <c r="E8" s="86">
        <v>3.0</v>
      </c>
      <c r="F8" s="86">
        <v>3.0</v>
      </c>
      <c r="G8" s="86">
        <v>5.0</v>
      </c>
      <c r="H8" s="86">
        <v>5.0</v>
      </c>
      <c r="I8" s="86">
        <v>4.0</v>
      </c>
      <c r="J8" s="86">
        <v>4.0</v>
      </c>
      <c r="K8" s="86">
        <v>4.0</v>
      </c>
      <c r="L8" s="71">
        <f t="shared" si="1"/>
        <v>36</v>
      </c>
      <c r="M8" s="16"/>
    </row>
    <row r="9" ht="30.0" customHeight="1">
      <c r="A9" s="96" t="str">
        <f>PAIRINGS!B6</f>
        <v>Gavin Allison</v>
      </c>
      <c r="B9" s="99" t="str">
        <f>PAIRINGS!D6</f>
        <v>Chesapeake</v>
      </c>
      <c r="C9" s="101">
        <v>5.0</v>
      </c>
      <c r="D9" s="101">
        <v>3.0</v>
      </c>
      <c r="E9" s="101">
        <v>5.0</v>
      </c>
      <c r="F9" s="101">
        <v>4.0</v>
      </c>
      <c r="G9" s="101">
        <v>4.0</v>
      </c>
      <c r="H9" s="101">
        <v>5.0</v>
      </c>
      <c r="I9" s="101">
        <v>5.0</v>
      </c>
      <c r="J9" s="101">
        <v>6.0</v>
      </c>
      <c r="K9" s="101">
        <v>7.0</v>
      </c>
      <c r="L9" s="71">
        <f t="shared" si="1"/>
        <v>44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56"/>
      <c r="M12" s="56"/>
    </row>
    <row r="13" ht="30.0" customHeight="1">
      <c r="A13" s="57" t="str">
        <f t="shared" ref="A13:B13" si="2">A6</f>
        <v>Ty Swann</v>
      </c>
      <c r="B13" s="59" t="str">
        <f t="shared" si="2"/>
        <v>Crofton</v>
      </c>
      <c r="C13" s="61">
        <v>5.0</v>
      </c>
      <c r="D13" s="61">
        <v>3.0</v>
      </c>
      <c r="E13" s="61">
        <v>4.0</v>
      </c>
      <c r="F13" s="61">
        <v>3.0</v>
      </c>
      <c r="G13" s="61">
        <v>6.0</v>
      </c>
      <c r="H13" s="61">
        <v>4.0</v>
      </c>
      <c r="I13" s="61">
        <v>5.0</v>
      </c>
      <c r="J13" s="61"/>
      <c r="K13" s="61"/>
      <c r="L13" s="71">
        <f t="shared" ref="L13:L16" si="4">SUM(C13:K13)</f>
        <v>30</v>
      </c>
      <c r="M13" s="71">
        <f t="shared" ref="M13:M16" si="5">SUM(L6 + L13)</f>
        <v>67</v>
      </c>
    </row>
    <row r="14" ht="30.0" customHeight="1">
      <c r="A14" s="78" t="str">
        <f t="shared" ref="A14:B14" si="3">A7</f>
        <v>Davis Balderston</v>
      </c>
      <c r="B14" s="91" t="str">
        <f t="shared" si="3"/>
        <v>Severna Park</v>
      </c>
      <c r="C14" s="86">
        <v>4.0</v>
      </c>
      <c r="D14" s="86">
        <v>3.0</v>
      </c>
      <c r="E14" s="86">
        <v>5.0</v>
      </c>
      <c r="F14" s="86">
        <v>3.0</v>
      </c>
      <c r="G14" s="86">
        <v>4.0</v>
      </c>
      <c r="H14" s="86">
        <v>4.0</v>
      </c>
      <c r="I14" s="86">
        <v>6.0</v>
      </c>
      <c r="J14" s="86"/>
      <c r="K14" s="86"/>
      <c r="L14" s="71">
        <f t="shared" si="4"/>
        <v>29</v>
      </c>
      <c r="M14" s="71">
        <f t="shared" si="5"/>
        <v>63</v>
      </c>
    </row>
    <row r="15" ht="30.0" customHeight="1">
      <c r="A15" s="78" t="str">
        <f t="shared" ref="A15:B15" si="6">A8</f>
        <v>James Jonker</v>
      </c>
      <c r="B15" s="91" t="str">
        <f t="shared" si="6"/>
        <v>Broadneck</v>
      </c>
      <c r="C15" s="86">
        <v>4.0</v>
      </c>
      <c r="D15" s="86">
        <v>3.0</v>
      </c>
      <c r="E15" s="86">
        <v>5.0</v>
      </c>
      <c r="F15" s="86">
        <v>3.0</v>
      </c>
      <c r="G15" s="86">
        <v>4.0</v>
      </c>
      <c r="H15" s="86">
        <v>4.0</v>
      </c>
      <c r="I15" s="86">
        <v>5.0</v>
      </c>
      <c r="J15" s="86"/>
      <c r="K15" s="86"/>
      <c r="L15" s="71">
        <f t="shared" si="4"/>
        <v>28</v>
      </c>
      <c r="M15" s="71">
        <f t="shared" si="5"/>
        <v>64</v>
      </c>
    </row>
    <row r="16" ht="30.0" customHeight="1">
      <c r="A16" s="96" t="str">
        <f t="shared" ref="A16:B16" si="7">A9</f>
        <v>Gavin Allison</v>
      </c>
      <c r="B16" s="99" t="str">
        <f t="shared" si="7"/>
        <v>Chesapeake</v>
      </c>
      <c r="C16" s="101">
        <v>4.0</v>
      </c>
      <c r="D16" s="101">
        <v>4.0</v>
      </c>
      <c r="E16" s="101">
        <v>4.0</v>
      </c>
      <c r="F16" s="101">
        <v>3.0</v>
      </c>
      <c r="G16" s="101">
        <v>5.0</v>
      </c>
      <c r="H16" s="101">
        <v>3.0</v>
      </c>
      <c r="I16" s="101">
        <v>4.0</v>
      </c>
      <c r="J16" s="101"/>
      <c r="K16" s="101"/>
      <c r="L16" s="71">
        <f t="shared" si="4"/>
        <v>27</v>
      </c>
      <c r="M16" s="71">
        <f t="shared" si="5"/>
        <v>71</v>
      </c>
    </row>
    <row r="17" ht="30.0" customHeight="1">
      <c r="A17" s="146"/>
      <c r="B17" s="51"/>
      <c r="C17" s="53"/>
      <c r="D17" s="53"/>
      <c r="E17" s="53"/>
      <c r="F17" s="53"/>
      <c r="G17" s="53"/>
      <c r="H17" s="53"/>
      <c r="I17" s="53"/>
      <c r="J17" s="53"/>
      <c r="K17" s="53"/>
      <c r="L17" s="56"/>
      <c r="M17" s="56"/>
    </row>
  </sheetData>
  <mergeCells count="1">
    <mergeCell ref="C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4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67" t="str">
        <f>PAIRINGS!F7</f>
        <v>Snyder (CR)</v>
      </c>
      <c r="B2" s="77" t="str">
        <f>PAIRINGS!A7</f>
        <v>1B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56"/>
      <c r="M5" s="16"/>
    </row>
    <row r="6" ht="30.0" customHeight="1">
      <c r="A6" s="98" t="str">
        <f>PAIRINGS!B7</f>
        <v>Ewan Ivey</v>
      </c>
      <c r="B6" s="103" t="str">
        <f>PAIRINGS!D7</f>
        <v>Southern</v>
      </c>
      <c r="C6" s="61">
        <v>6.0</v>
      </c>
      <c r="D6" s="61">
        <v>3.0</v>
      </c>
      <c r="E6" s="61">
        <v>4.0</v>
      </c>
      <c r="F6" s="61">
        <v>4.0</v>
      </c>
      <c r="G6" s="61">
        <v>5.0</v>
      </c>
      <c r="H6" s="61">
        <v>4.0</v>
      </c>
      <c r="I6" s="61">
        <v>5.0</v>
      </c>
      <c r="J6" s="61">
        <v>4.0</v>
      </c>
      <c r="K6" s="61">
        <v>5.0</v>
      </c>
      <c r="L6" s="71">
        <f t="shared" ref="L6:L9" si="1">SUM(C6:K6)</f>
        <v>40</v>
      </c>
      <c r="M6" s="16"/>
    </row>
    <row r="7" ht="30.0" customHeight="1">
      <c r="A7" s="115" t="str">
        <f>PAIRINGS!B8</f>
        <v>Chase Connell</v>
      </c>
      <c r="B7" s="118" t="str">
        <f>PAIRINGS!D8</f>
        <v>Severna Park</v>
      </c>
      <c r="C7" s="86">
        <v>5.0</v>
      </c>
      <c r="D7" s="86">
        <v>3.0</v>
      </c>
      <c r="E7" s="86">
        <v>4.0</v>
      </c>
      <c r="F7" s="86">
        <v>3.0</v>
      </c>
      <c r="G7" s="86">
        <v>4.0</v>
      </c>
      <c r="H7" s="86">
        <v>4.0</v>
      </c>
      <c r="I7" s="86">
        <v>6.0</v>
      </c>
      <c r="J7" s="86">
        <v>4.0</v>
      </c>
      <c r="K7" s="86">
        <v>3.0</v>
      </c>
      <c r="L7" s="71">
        <f t="shared" si="1"/>
        <v>36</v>
      </c>
      <c r="M7" s="16"/>
    </row>
    <row r="8" ht="30.0" customHeight="1">
      <c r="A8" s="115" t="str">
        <f>PAIRINGS!B9</f>
        <v>Michael Peterson</v>
      </c>
      <c r="B8" s="118" t="str">
        <f>PAIRINGS!D9</f>
        <v>Broadneck</v>
      </c>
      <c r="C8" s="86">
        <v>5.0</v>
      </c>
      <c r="D8" s="86">
        <v>3.0</v>
      </c>
      <c r="E8" s="86">
        <v>5.0</v>
      </c>
      <c r="F8" s="86">
        <v>5.0</v>
      </c>
      <c r="G8" s="86">
        <v>7.0</v>
      </c>
      <c r="H8" s="86">
        <v>4.0</v>
      </c>
      <c r="I8" s="86">
        <v>5.0</v>
      </c>
      <c r="J8" s="86">
        <v>4.0</v>
      </c>
      <c r="K8" s="86">
        <v>4.0</v>
      </c>
      <c r="L8" s="71">
        <f t="shared" si="1"/>
        <v>42</v>
      </c>
      <c r="M8" s="16"/>
    </row>
    <row r="9" ht="30.0" customHeight="1">
      <c r="A9" s="127" t="str">
        <f>PAIRINGS!B10</f>
        <v>Alan Higgins</v>
      </c>
      <c r="B9" s="130" t="str">
        <f>PAIRINGS!D10</f>
        <v>Chesapeake</v>
      </c>
      <c r="C9" s="101">
        <v>5.0</v>
      </c>
      <c r="D9" s="101">
        <v>4.0</v>
      </c>
      <c r="E9" s="101">
        <v>5.0</v>
      </c>
      <c r="F9" s="101">
        <v>4.0</v>
      </c>
      <c r="G9" s="101">
        <v>4.0</v>
      </c>
      <c r="H9" s="101">
        <v>6.0</v>
      </c>
      <c r="I9" s="101">
        <v>4.0</v>
      </c>
      <c r="J9" s="101">
        <v>5.0</v>
      </c>
      <c r="K9" s="101">
        <v>5.0</v>
      </c>
      <c r="L9" s="71">
        <f t="shared" si="1"/>
        <v>42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56"/>
      <c r="M12" s="56"/>
    </row>
    <row r="13" ht="30.0" customHeight="1">
      <c r="A13" s="57" t="str">
        <f t="shared" ref="A13:B13" si="2">A6</f>
        <v>Ewan Ivey</v>
      </c>
      <c r="B13" s="224" t="str">
        <f t="shared" si="2"/>
        <v>Southern</v>
      </c>
      <c r="C13" s="61">
        <v>5.0</v>
      </c>
      <c r="D13" s="61">
        <v>4.0</v>
      </c>
      <c r="E13" s="61">
        <v>5.0</v>
      </c>
      <c r="F13" s="61">
        <v>4.0</v>
      </c>
      <c r="G13" s="61">
        <v>5.0</v>
      </c>
      <c r="H13" s="61">
        <v>3.0</v>
      </c>
      <c r="I13" s="61"/>
      <c r="J13" s="61"/>
      <c r="K13" s="61"/>
      <c r="L13" s="71">
        <f t="shared" ref="L13:L16" si="4">SUM(C13:K13)</f>
        <v>26</v>
      </c>
      <c r="M13" s="71">
        <f t="shared" ref="M13:M16" si="5">SUM(L6 + L13)</f>
        <v>66</v>
      </c>
    </row>
    <row r="14" ht="30.0" customHeight="1">
      <c r="A14" s="78" t="str">
        <f t="shared" ref="A14:B14" si="3">A7</f>
        <v>Chase Connell</v>
      </c>
      <c r="B14" s="237" t="str">
        <f t="shared" si="3"/>
        <v>Severna Park</v>
      </c>
      <c r="C14" s="86">
        <v>5.0</v>
      </c>
      <c r="D14" s="86">
        <v>3.0</v>
      </c>
      <c r="E14" s="86">
        <v>5.0</v>
      </c>
      <c r="F14" s="86">
        <v>2.0</v>
      </c>
      <c r="G14" s="86">
        <v>5.0</v>
      </c>
      <c r="H14" s="86">
        <v>4.0</v>
      </c>
      <c r="I14" s="86"/>
      <c r="J14" s="86"/>
      <c r="K14" s="86"/>
      <c r="L14" s="71">
        <f t="shared" si="4"/>
        <v>24</v>
      </c>
      <c r="M14" s="71">
        <f t="shared" si="5"/>
        <v>60</v>
      </c>
    </row>
    <row r="15" ht="30.0" customHeight="1">
      <c r="A15" s="78" t="str">
        <f t="shared" ref="A15:B15" si="6">A8</f>
        <v>Michael Peterson</v>
      </c>
      <c r="B15" s="237" t="str">
        <f t="shared" si="6"/>
        <v>Broadneck</v>
      </c>
      <c r="C15" s="86">
        <v>4.0</v>
      </c>
      <c r="D15" s="86">
        <v>5.0</v>
      </c>
      <c r="E15" s="86">
        <v>6.0</v>
      </c>
      <c r="F15" s="86">
        <v>3.0</v>
      </c>
      <c r="G15" s="86">
        <v>5.0</v>
      </c>
      <c r="H15" s="86">
        <v>3.0</v>
      </c>
      <c r="I15" s="86"/>
      <c r="J15" s="86"/>
      <c r="K15" s="86"/>
      <c r="L15" s="71">
        <f t="shared" si="4"/>
        <v>26</v>
      </c>
      <c r="M15" s="71">
        <f t="shared" si="5"/>
        <v>68</v>
      </c>
    </row>
    <row r="16" ht="30.0" customHeight="1">
      <c r="A16" s="96" t="str">
        <f t="shared" ref="A16:B16" si="7">A9</f>
        <v>Alan Higgins</v>
      </c>
      <c r="B16" s="259" t="str">
        <f t="shared" si="7"/>
        <v>Chesapeake</v>
      </c>
      <c r="C16" s="101">
        <v>4.0</v>
      </c>
      <c r="D16" s="101">
        <v>3.0</v>
      </c>
      <c r="E16" s="101">
        <v>5.0</v>
      </c>
      <c r="F16" s="101">
        <v>5.0</v>
      </c>
      <c r="G16" s="101">
        <v>6.0</v>
      </c>
      <c r="H16" s="101">
        <v>8.0</v>
      </c>
      <c r="I16" s="101"/>
      <c r="J16" s="101"/>
      <c r="K16" s="101"/>
      <c r="L16" s="71">
        <f t="shared" si="4"/>
        <v>31</v>
      </c>
      <c r="M16" s="71">
        <f t="shared" si="5"/>
        <v>73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56"/>
      <c r="M17" s="56"/>
    </row>
  </sheetData>
  <mergeCells count="1">
    <mergeCell ref="C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88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PAIRINGS!F11</f>
        <v>Brobst (AR)</v>
      </c>
      <c r="B2" s="34" t="str">
        <f>PAIRINGS!A11</f>
        <v>18A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56"/>
      <c r="M5" s="16"/>
    </row>
    <row r="6" ht="30.0" customHeight="1">
      <c r="A6" s="57" t="str">
        <f>PAIRINGS!B11</f>
        <v>Micah Gossard</v>
      </c>
      <c r="B6" s="224" t="str">
        <f>PAIRINGS!D11</f>
        <v>Broadneck</v>
      </c>
      <c r="C6" s="61">
        <v>5.0</v>
      </c>
      <c r="D6" s="61">
        <v>3.0</v>
      </c>
      <c r="E6" s="61">
        <v>5.0</v>
      </c>
      <c r="F6" s="61">
        <v>4.0</v>
      </c>
      <c r="G6" s="61">
        <v>5.0</v>
      </c>
      <c r="H6" s="61">
        <v>5.0</v>
      </c>
      <c r="I6" s="61">
        <v>6.0</v>
      </c>
      <c r="J6" s="61">
        <v>4.0</v>
      </c>
      <c r="K6" s="61">
        <v>4.0</v>
      </c>
      <c r="L6" s="71">
        <f t="shared" ref="L6:L9" si="1">SUM(C6:K6)</f>
        <v>41</v>
      </c>
      <c r="M6" s="16"/>
    </row>
    <row r="7" ht="30.0" customHeight="1">
      <c r="A7" s="78" t="str">
        <f>PAIRINGS!B12</f>
        <v>CJ Burke</v>
      </c>
      <c r="B7" s="237" t="str">
        <f>PAIRINGS!D12</f>
        <v>South River</v>
      </c>
      <c r="C7" s="86">
        <v>6.0</v>
      </c>
      <c r="D7" s="86">
        <v>5.0</v>
      </c>
      <c r="E7" s="86">
        <v>5.0</v>
      </c>
      <c r="F7" s="86">
        <v>4.0</v>
      </c>
      <c r="G7" s="86">
        <v>5.0</v>
      </c>
      <c r="H7" s="86">
        <v>5.0</v>
      </c>
      <c r="I7" s="86">
        <v>6.0</v>
      </c>
      <c r="J7" s="86">
        <v>5.0</v>
      </c>
      <c r="K7" s="86">
        <v>3.0</v>
      </c>
      <c r="L7" s="71">
        <f t="shared" si="1"/>
        <v>44</v>
      </c>
      <c r="M7" s="16"/>
    </row>
    <row r="8" ht="30.0" customHeight="1">
      <c r="A8" s="248" t="str">
        <f>PAIRINGS!B13</f>
        <v>Chase Youmans</v>
      </c>
      <c r="B8" s="252" t="str">
        <f>PAIRINGS!D13</f>
        <v>Southern</v>
      </c>
      <c r="C8" s="86">
        <v>7.0</v>
      </c>
      <c r="D8" s="86">
        <v>3.0</v>
      </c>
      <c r="E8" s="86">
        <v>7.0</v>
      </c>
      <c r="F8" s="86">
        <v>4.0</v>
      </c>
      <c r="G8" s="86">
        <v>6.0</v>
      </c>
      <c r="H8" s="86">
        <v>6.0</v>
      </c>
      <c r="I8" s="86">
        <v>7.0</v>
      </c>
      <c r="J8" s="86">
        <v>4.0</v>
      </c>
      <c r="K8" s="86">
        <v>4.0</v>
      </c>
      <c r="L8" s="71">
        <f t="shared" si="1"/>
        <v>48</v>
      </c>
      <c r="M8" s="16"/>
    </row>
    <row r="9" ht="30.0" customHeight="1">
      <c r="A9" s="96" t="str">
        <f>PAIRINGS!B14</f>
        <v>Jack Peery</v>
      </c>
      <c r="B9" s="259" t="str">
        <f>PAIRINGS!D14</f>
        <v>Severna Park</v>
      </c>
      <c r="C9" s="101">
        <v>5.0</v>
      </c>
      <c r="D9" s="101">
        <v>7.0</v>
      </c>
      <c r="E9" s="101">
        <v>4.0</v>
      </c>
      <c r="F9" s="101">
        <v>3.0</v>
      </c>
      <c r="G9" s="101">
        <v>5.0</v>
      </c>
      <c r="H9" s="101">
        <v>7.0</v>
      </c>
      <c r="I9" s="101">
        <v>6.0</v>
      </c>
      <c r="J9" s="101">
        <v>4.0</v>
      </c>
      <c r="K9" s="101">
        <v>5.0</v>
      </c>
      <c r="L9" s="71">
        <f t="shared" si="1"/>
        <v>46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56"/>
      <c r="M12" s="56"/>
    </row>
    <row r="13" ht="30.0" customHeight="1">
      <c r="A13" s="57" t="str">
        <f t="shared" ref="A13:B13" si="2">A6</f>
        <v>Micah Gossard</v>
      </c>
      <c r="B13" s="224" t="str">
        <f t="shared" si="2"/>
        <v>Broadneck</v>
      </c>
      <c r="C13" s="61">
        <v>4.0</v>
      </c>
      <c r="D13" s="61">
        <v>3.0</v>
      </c>
      <c r="E13" s="61">
        <v>7.0</v>
      </c>
      <c r="F13" s="61">
        <v>4.0</v>
      </c>
      <c r="G13" s="61">
        <v>4.0</v>
      </c>
      <c r="H13" s="61">
        <v>4.0</v>
      </c>
      <c r="I13" s="61"/>
      <c r="J13" s="61"/>
      <c r="K13" s="61">
        <v>4.0</v>
      </c>
      <c r="L13" s="71">
        <f t="shared" ref="L13:L16" si="4">SUM(C13:K13)</f>
        <v>30</v>
      </c>
      <c r="M13" s="71">
        <f t="shared" ref="M13:M16" si="5">SUM(L6 + L13)</f>
        <v>71</v>
      </c>
    </row>
    <row r="14" ht="30.0" customHeight="1">
      <c r="A14" s="78" t="str">
        <f t="shared" ref="A14:B14" si="3">A7</f>
        <v>CJ Burke</v>
      </c>
      <c r="B14" s="237" t="str">
        <f t="shared" si="3"/>
        <v>South River</v>
      </c>
      <c r="C14" s="86">
        <v>5.0</v>
      </c>
      <c r="D14" s="86">
        <v>3.0</v>
      </c>
      <c r="E14" s="86">
        <v>6.0</v>
      </c>
      <c r="F14" s="86">
        <v>3.0</v>
      </c>
      <c r="G14" s="86">
        <v>6.0</v>
      </c>
      <c r="H14" s="86">
        <v>4.0</v>
      </c>
      <c r="I14" s="86"/>
      <c r="J14" s="86"/>
      <c r="K14" s="86">
        <v>3.0</v>
      </c>
      <c r="L14" s="71">
        <f t="shared" si="4"/>
        <v>30</v>
      </c>
      <c r="M14" s="71">
        <f t="shared" si="5"/>
        <v>74</v>
      </c>
    </row>
    <row r="15" ht="30.0" customHeight="1">
      <c r="A15" s="248" t="str">
        <f t="shared" ref="A15:B15" si="6">A8</f>
        <v>Chase Youmans</v>
      </c>
      <c r="B15" s="252" t="str">
        <f t="shared" si="6"/>
        <v>Southern</v>
      </c>
      <c r="C15" s="86">
        <v>7.0</v>
      </c>
      <c r="D15" s="86">
        <v>5.0</v>
      </c>
      <c r="E15" s="86">
        <v>5.0</v>
      </c>
      <c r="F15" s="86">
        <v>6.0</v>
      </c>
      <c r="G15" s="86">
        <v>6.0</v>
      </c>
      <c r="H15" s="86">
        <v>4.0</v>
      </c>
      <c r="I15" s="86"/>
      <c r="J15" s="86"/>
      <c r="K15" s="86">
        <v>5.0</v>
      </c>
      <c r="L15" s="71">
        <f t="shared" si="4"/>
        <v>38</v>
      </c>
      <c r="M15" s="71">
        <f t="shared" si="5"/>
        <v>86</v>
      </c>
    </row>
    <row r="16" ht="30.0" customHeight="1">
      <c r="A16" s="96" t="str">
        <f t="shared" ref="A16:B16" si="7">A9</f>
        <v>Jack Peery</v>
      </c>
      <c r="B16" s="259" t="str">
        <f t="shared" si="7"/>
        <v>Severna Park</v>
      </c>
      <c r="C16" s="101">
        <v>7.0</v>
      </c>
      <c r="D16" s="101">
        <v>3.0</v>
      </c>
      <c r="E16" s="101">
        <v>6.0</v>
      </c>
      <c r="F16" s="101">
        <v>6.0</v>
      </c>
      <c r="G16" s="101">
        <v>6.0</v>
      </c>
      <c r="H16" s="101">
        <v>4.0</v>
      </c>
      <c r="I16" s="101"/>
      <c r="J16" s="101"/>
      <c r="K16" s="101">
        <v>3.0</v>
      </c>
      <c r="L16" s="71">
        <f t="shared" si="4"/>
        <v>35</v>
      </c>
      <c r="M16" s="71">
        <f t="shared" si="5"/>
        <v>81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56"/>
      <c r="M17" s="56"/>
    </row>
  </sheetData>
  <mergeCells count="1">
    <mergeCell ref="C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135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PAIRINGS!F15</f>
        <v>J Dean (SP)</v>
      </c>
      <c r="B2" s="34" t="str">
        <f>PAIRINGS!A15</f>
        <v>18B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56"/>
      <c r="M5" s="16"/>
    </row>
    <row r="6" ht="30.0" customHeight="1">
      <c r="A6" s="57" t="str">
        <f>PAIRINGS!B15</f>
        <v>Max Harada</v>
      </c>
      <c r="B6" s="224" t="str">
        <f>PAIRINGS!D15</f>
        <v>Broadneck</v>
      </c>
      <c r="C6" s="61">
        <v>9.0</v>
      </c>
      <c r="D6" s="61">
        <v>3.0</v>
      </c>
      <c r="E6" s="61">
        <v>9.0</v>
      </c>
      <c r="F6" s="61">
        <v>3.0</v>
      </c>
      <c r="G6" s="61">
        <v>5.0</v>
      </c>
      <c r="H6" s="61">
        <v>5.0</v>
      </c>
      <c r="I6" s="61">
        <v>6.0</v>
      </c>
      <c r="J6" s="61">
        <v>4.0</v>
      </c>
      <c r="K6" s="61">
        <v>5.0</v>
      </c>
      <c r="L6" s="71">
        <f t="shared" ref="L6:L9" si="1">SUM(C6:K6)</f>
        <v>49</v>
      </c>
      <c r="M6" s="16"/>
    </row>
    <row r="7" ht="30.0" customHeight="1">
      <c r="A7" s="78" t="str">
        <f>PAIRINGS!B16</f>
        <v>Chase Fortescue</v>
      </c>
      <c r="B7" s="237" t="str">
        <f>PAIRINGS!D16</f>
        <v>Arundel</v>
      </c>
      <c r="C7" s="86">
        <v>6.0</v>
      </c>
      <c r="D7" s="86">
        <v>5.0</v>
      </c>
      <c r="E7" s="86">
        <v>5.0</v>
      </c>
      <c r="F7" s="86">
        <v>4.0</v>
      </c>
      <c r="G7" s="86">
        <v>8.0</v>
      </c>
      <c r="H7" s="86">
        <v>5.0</v>
      </c>
      <c r="I7" s="86">
        <v>6.0</v>
      </c>
      <c r="J7" s="86">
        <v>5.0</v>
      </c>
      <c r="K7" s="86">
        <v>5.0</v>
      </c>
      <c r="L7" s="71">
        <f t="shared" si="1"/>
        <v>49</v>
      </c>
      <c r="M7" s="16"/>
    </row>
    <row r="8" ht="30.0" customHeight="1">
      <c r="A8" s="78" t="str">
        <f>PAIRINGS!B17</f>
        <v>Bryce Crandell</v>
      </c>
      <c r="B8" s="237" t="str">
        <f>PAIRINGS!D17</f>
        <v>Southern</v>
      </c>
      <c r="C8" s="86">
        <v>6.0</v>
      </c>
      <c r="D8" s="86">
        <v>5.0</v>
      </c>
      <c r="E8" s="86">
        <v>7.0</v>
      </c>
      <c r="F8" s="86">
        <v>7.0</v>
      </c>
      <c r="G8" s="86">
        <v>4.0</v>
      </c>
      <c r="H8" s="86">
        <v>6.0</v>
      </c>
      <c r="I8" s="86">
        <v>9.0</v>
      </c>
      <c r="J8" s="86">
        <v>4.0</v>
      </c>
      <c r="K8" s="86">
        <v>4.0</v>
      </c>
      <c r="L8" s="71">
        <f t="shared" si="1"/>
        <v>52</v>
      </c>
      <c r="M8" s="16"/>
    </row>
    <row r="9" ht="30.0" customHeight="1">
      <c r="A9" s="96" t="str">
        <f>PAIRINGS!B18</f>
        <v>Cooper Barnes</v>
      </c>
      <c r="B9" s="259" t="str">
        <f>PAIRINGS!D18</f>
        <v>Chesapeake</v>
      </c>
      <c r="C9" s="101">
        <v>6.0</v>
      </c>
      <c r="D9" s="101">
        <v>3.0</v>
      </c>
      <c r="E9" s="101">
        <v>6.0</v>
      </c>
      <c r="F9" s="101">
        <v>4.0</v>
      </c>
      <c r="G9" s="101">
        <v>4.0</v>
      </c>
      <c r="H9" s="101">
        <v>7.0</v>
      </c>
      <c r="I9" s="101">
        <v>5.0</v>
      </c>
      <c r="J9" s="101">
        <v>5.0</v>
      </c>
      <c r="K9" s="101">
        <v>5.0</v>
      </c>
      <c r="L9" s="71">
        <f t="shared" si="1"/>
        <v>45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56"/>
      <c r="M12" s="56"/>
    </row>
    <row r="13" ht="30.0" customHeight="1">
      <c r="A13" s="57" t="str">
        <f t="shared" ref="A13:B13" si="2">A6</f>
        <v>Max Harada</v>
      </c>
      <c r="B13" s="224" t="str">
        <f t="shared" si="2"/>
        <v>Broadneck</v>
      </c>
      <c r="C13" s="61">
        <v>4.0</v>
      </c>
      <c r="D13" s="61">
        <v>4.0</v>
      </c>
      <c r="E13" s="61">
        <v>5.0</v>
      </c>
      <c r="F13" s="61">
        <v>4.0</v>
      </c>
      <c r="G13" s="61">
        <v>5.0</v>
      </c>
      <c r="H13" s="61"/>
      <c r="I13" s="61"/>
      <c r="J13" s="61"/>
      <c r="K13" s="61">
        <v>5.0</v>
      </c>
      <c r="L13" s="71">
        <f t="shared" ref="L13:L16" si="4">SUM(C13:K13)</f>
        <v>27</v>
      </c>
      <c r="M13" s="71">
        <f t="shared" ref="M13:M16" si="5">SUM(L6 + L13)</f>
        <v>76</v>
      </c>
    </row>
    <row r="14" ht="30.0" customHeight="1">
      <c r="A14" s="78" t="str">
        <f t="shared" ref="A14:B14" si="3">A7</f>
        <v>Chase Fortescue</v>
      </c>
      <c r="B14" s="237" t="str">
        <f t="shared" si="3"/>
        <v>Arundel</v>
      </c>
      <c r="C14" s="86">
        <v>6.0</v>
      </c>
      <c r="D14" s="86">
        <v>2.0</v>
      </c>
      <c r="E14" s="86">
        <v>6.0</v>
      </c>
      <c r="F14" s="86">
        <v>2.0</v>
      </c>
      <c r="G14" s="86">
        <v>6.0</v>
      </c>
      <c r="H14" s="86"/>
      <c r="I14" s="86"/>
      <c r="J14" s="86"/>
      <c r="K14" s="86">
        <v>5.0</v>
      </c>
      <c r="L14" s="71">
        <f t="shared" si="4"/>
        <v>27</v>
      </c>
      <c r="M14" s="71">
        <f t="shared" si="5"/>
        <v>76</v>
      </c>
    </row>
    <row r="15" ht="30.0" customHeight="1">
      <c r="A15" s="78" t="str">
        <f t="shared" ref="A15:B15" si="6">A8</f>
        <v>Bryce Crandell</v>
      </c>
      <c r="B15" s="237" t="str">
        <f t="shared" si="6"/>
        <v>Southern</v>
      </c>
      <c r="C15" s="86">
        <v>4.0</v>
      </c>
      <c r="D15" s="86">
        <v>3.0</v>
      </c>
      <c r="E15" s="86">
        <v>6.0</v>
      </c>
      <c r="F15" s="86">
        <v>4.0</v>
      </c>
      <c r="G15" s="86">
        <v>6.0</v>
      </c>
      <c r="H15" s="86"/>
      <c r="I15" s="86"/>
      <c r="J15" s="86"/>
      <c r="K15" s="86">
        <v>7.0</v>
      </c>
      <c r="L15" s="71">
        <f t="shared" si="4"/>
        <v>30</v>
      </c>
      <c r="M15" s="71">
        <f t="shared" si="5"/>
        <v>82</v>
      </c>
    </row>
    <row r="16" ht="30.0" customHeight="1">
      <c r="A16" s="96" t="str">
        <f t="shared" ref="A16:B16" si="7">A9</f>
        <v>Cooper Barnes</v>
      </c>
      <c r="B16" s="259" t="str">
        <f t="shared" si="7"/>
        <v>Chesapeake</v>
      </c>
      <c r="C16" s="101">
        <v>7.0</v>
      </c>
      <c r="D16" s="101">
        <v>4.0</v>
      </c>
      <c r="E16" s="101">
        <v>7.0</v>
      </c>
      <c r="F16" s="101">
        <v>4.0</v>
      </c>
      <c r="G16" s="101">
        <v>4.0</v>
      </c>
      <c r="H16" s="101"/>
      <c r="I16" s="101"/>
      <c r="J16" s="101"/>
      <c r="K16" s="101">
        <v>5.0</v>
      </c>
      <c r="L16" s="71">
        <f t="shared" si="4"/>
        <v>31</v>
      </c>
      <c r="M16" s="71">
        <f t="shared" si="5"/>
        <v>76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56"/>
      <c r="M17" s="56"/>
    </row>
  </sheetData>
  <mergeCells count="1">
    <mergeCell ref="C1:F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140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PAIRINGS!F19</f>
        <v>Merkel (OM)</v>
      </c>
      <c r="B2" s="34" t="str">
        <f>PAIRINGS!A19</f>
        <v>17A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56"/>
      <c r="M5" s="16"/>
    </row>
    <row r="6" ht="30.0" customHeight="1">
      <c r="A6" s="57" t="str">
        <f>PAIRINGS!B19</f>
        <v>Owen Moon</v>
      </c>
      <c r="B6" s="224" t="str">
        <f>PAIRINGS!D19</f>
        <v>Southern</v>
      </c>
      <c r="C6" s="61">
        <v>5.0</v>
      </c>
      <c r="D6" s="61">
        <v>5.0</v>
      </c>
      <c r="E6" s="61">
        <v>4.0</v>
      </c>
      <c r="F6" s="61">
        <v>4.0</v>
      </c>
      <c r="G6" s="61">
        <v>4.0</v>
      </c>
      <c r="H6" s="61">
        <v>3.0</v>
      </c>
      <c r="I6" s="61">
        <v>7.0</v>
      </c>
      <c r="J6" s="61">
        <v>6.0</v>
      </c>
      <c r="K6" s="61">
        <v>4.0</v>
      </c>
      <c r="L6" s="71">
        <f t="shared" ref="L6:L9" si="1">SUM(C6:K6)</f>
        <v>42</v>
      </c>
      <c r="M6" s="16"/>
    </row>
    <row r="7" ht="30.0" customHeight="1">
      <c r="A7" s="78" t="str">
        <f>PAIRINGS!B20</f>
        <v>Liam Finnegan</v>
      </c>
      <c r="B7" s="237" t="str">
        <f>PAIRINGS!D20</f>
        <v>Chesapeake</v>
      </c>
      <c r="C7" s="86">
        <v>8.0</v>
      </c>
      <c r="D7" s="86">
        <v>3.0</v>
      </c>
      <c r="E7" s="86">
        <v>5.0</v>
      </c>
      <c r="F7" s="86">
        <v>5.0</v>
      </c>
      <c r="G7" s="86">
        <v>4.0</v>
      </c>
      <c r="H7" s="86">
        <v>7.0</v>
      </c>
      <c r="I7" s="86">
        <v>5.0</v>
      </c>
      <c r="J7" s="86">
        <v>4.0</v>
      </c>
      <c r="K7" s="86">
        <v>4.0</v>
      </c>
      <c r="L7" s="71">
        <f t="shared" si="1"/>
        <v>45</v>
      </c>
      <c r="M7" s="16"/>
    </row>
    <row r="8" ht="30.0" customHeight="1">
      <c r="A8" s="78" t="str">
        <f>PAIRINGS!B21</f>
        <v>Ben Cunningham</v>
      </c>
      <c r="B8" s="237" t="str">
        <f>PAIRINGS!D21</f>
        <v>Crofton</v>
      </c>
      <c r="C8" s="86">
        <v>6.0</v>
      </c>
      <c r="D8" s="86">
        <v>3.0</v>
      </c>
      <c r="E8" s="86">
        <v>6.0</v>
      </c>
      <c r="F8" s="86">
        <v>3.0</v>
      </c>
      <c r="G8" s="86">
        <v>4.0</v>
      </c>
      <c r="H8" s="86">
        <v>6.0</v>
      </c>
      <c r="I8" s="86">
        <v>5.0</v>
      </c>
      <c r="J8" s="86">
        <v>6.0</v>
      </c>
      <c r="K8" s="86">
        <v>4.0</v>
      </c>
      <c r="L8" s="71">
        <f t="shared" si="1"/>
        <v>43</v>
      </c>
      <c r="M8" s="16"/>
    </row>
    <row r="9" ht="30.0" customHeight="1">
      <c r="A9" s="96" t="str">
        <f>PAIRINGS!B22</f>
        <v>Chris Jenkins</v>
      </c>
      <c r="B9" s="259" t="str">
        <f>PAIRINGS!D22</f>
        <v>Severna Park</v>
      </c>
      <c r="C9" s="101">
        <v>7.0</v>
      </c>
      <c r="D9" s="101">
        <v>4.0</v>
      </c>
      <c r="E9" s="101">
        <v>5.0</v>
      </c>
      <c r="F9" s="101">
        <v>3.0</v>
      </c>
      <c r="G9" s="101">
        <v>6.0</v>
      </c>
      <c r="H9" s="101">
        <v>5.0</v>
      </c>
      <c r="I9" s="101">
        <v>5.0</v>
      </c>
      <c r="J9" s="101">
        <v>4.0</v>
      </c>
      <c r="K9" s="328">
        <v>6.0</v>
      </c>
      <c r="L9" s="71">
        <f t="shared" si="1"/>
        <v>45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329">
        <v>6.0</v>
      </c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332">
        <v>12.0</v>
      </c>
      <c r="F11" s="332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56"/>
      <c r="M12" s="56"/>
    </row>
    <row r="13" ht="30.0" customHeight="1">
      <c r="A13" s="57" t="str">
        <f t="shared" ref="A13:B13" si="2">A6</f>
        <v>Owen Moon</v>
      </c>
      <c r="B13" s="224" t="str">
        <f t="shared" si="2"/>
        <v>Southern</v>
      </c>
      <c r="C13" s="61">
        <v>5.0</v>
      </c>
      <c r="D13" s="61">
        <v>4.0</v>
      </c>
      <c r="E13" s="61">
        <v>6.0</v>
      </c>
      <c r="F13" s="61">
        <v>4.0</v>
      </c>
      <c r="G13" s="61">
        <v>5.0</v>
      </c>
      <c r="H13" s="61"/>
      <c r="I13" s="61"/>
      <c r="J13" s="61">
        <v>4.0</v>
      </c>
      <c r="K13" s="61">
        <v>6.0</v>
      </c>
      <c r="L13" s="71">
        <f t="shared" ref="L13:L16" si="4">SUM(C13:K13)</f>
        <v>34</v>
      </c>
      <c r="M13" s="71">
        <f t="shared" ref="M13:M16" si="5">SUM(L6 + L13)</f>
        <v>76</v>
      </c>
    </row>
    <row r="14" ht="30.0" customHeight="1">
      <c r="A14" s="78" t="str">
        <f t="shared" ref="A14:B14" si="3">A7</f>
        <v>Liam Finnegan</v>
      </c>
      <c r="B14" s="237" t="str">
        <f t="shared" si="3"/>
        <v>Chesapeake</v>
      </c>
      <c r="C14" s="86">
        <v>4.0</v>
      </c>
      <c r="D14" s="86">
        <v>3.0</v>
      </c>
      <c r="E14" s="86">
        <v>5.0</v>
      </c>
      <c r="F14" s="86">
        <v>3.0</v>
      </c>
      <c r="G14" s="86">
        <v>7.0</v>
      </c>
      <c r="H14" s="86"/>
      <c r="I14" s="86"/>
      <c r="J14" s="86">
        <v>4.0</v>
      </c>
      <c r="K14" s="86">
        <v>4.0</v>
      </c>
      <c r="L14" s="71">
        <f t="shared" si="4"/>
        <v>30</v>
      </c>
      <c r="M14" s="71">
        <f t="shared" si="5"/>
        <v>75</v>
      </c>
    </row>
    <row r="15" ht="30.0" customHeight="1">
      <c r="A15" s="78" t="str">
        <f t="shared" ref="A15:B15" si="6">A8</f>
        <v>Ben Cunningham</v>
      </c>
      <c r="B15" s="237" t="str">
        <f t="shared" si="6"/>
        <v>Crofton</v>
      </c>
      <c r="C15" s="86">
        <v>4.0</v>
      </c>
      <c r="D15" s="86">
        <v>3.0</v>
      </c>
      <c r="E15" s="86">
        <v>6.0</v>
      </c>
      <c r="F15" s="86">
        <v>3.0</v>
      </c>
      <c r="G15" s="86">
        <v>6.0</v>
      </c>
      <c r="H15" s="86"/>
      <c r="I15" s="86"/>
      <c r="J15" s="86">
        <v>4.0</v>
      </c>
      <c r="K15" s="86">
        <v>4.0</v>
      </c>
      <c r="L15" s="71">
        <f t="shared" si="4"/>
        <v>30</v>
      </c>
      <c r="M15" s="71">
        <f t="shared" si="5"/>
        <v>73</v>
      </c>
    </row>
    <row r="16" ht="30.0" customHeight="1">
      <c r="A16" s="96" t="str">
        <f t="shared" ref="A16:B16" si="7">A9</f>
        <v>Chris Jenkins</v>
      </c>
      <c r="B16" s="259" t="str">
        <f t="shared" si="7"/>
        <v>Severna Park</v>
      </c>
      <c r="C16" s="101">
        <v>4.0</v>
      </c>
      <c r="D16" s="101">
        <v>4.0</v>
      </c>
      <c r="E16" s="101">
        <v>6.0</v>
      </c>
      <c r="F16" s="101">
        <v>3.0</v>
      </c>
      <c r="G16" s="101">
        <v>5.0</v>
      </c>
      <c r="H16" s="101"/>
      <c r="I16" s="101"/>
      <c r="J16" s="101">
        <v>5.0</v>
      </c>
      <c r="K16" s="101">
        <v>5.0</v>
      </c>
      <c r="L16" s="71">
        <f t="shared" si="4"/>
        <v>32</v>
      </c>
      <c r="M16" s="71">
        <f t="shared" si="5"/>
        <v>77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56"/>
      <c r="M17" s="56"/>
    </row>
  </sheetData>
  <mergeCells count="1">
    <mergeCell ref="C1:F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148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PAIRINGS!F23</f>
        <v>Reid (NE)</v>
      </c>
      <c r="B2" s="34" t="str">
        <f>PAIRINGS!A23</f>
        <v>17B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56"/>
      <c r="M5" s="16"/>
    </row>
    <row r="6" ht="30.0" customHeight="1">
      <c r="A6" s="57" t="str">
        <f>PAIRINGS!B23</f>
        <v>Brody McCafferty</v>
      </c>
      <c r="B6" s="224" t="str">
        <f>PAIRINGS!D23</f>
        <v>Southern</v>
      </c>
      <c r="C6" s="61">
        <v>7.0</v>
      </c>
      <c r="D6" s="61">
        <v>4.0</v>
      </c>
      <c r="E6" s="61">
        <v>6.0</v>
      </c>
      <c r="F6" s="61">
        <v>4.0</v>
      </c>
      <c r="G6" s="61">
        <v>5.0</v>
      </c>
      <c r="H6" s="61">
        <v>6.0</v>
      </c>
      <c r="I6" s="61">
        <v>6.0</v>
      </c>
      <c r="J6" s="61">
        <v>7.0</v>
      </c>
      <c r="K6" s="61">
        <v>4.0</v>
      </c>
      <c r="L6" s="71">
        <f t="shared" ref="L6:L9" si="1">SUM(C6:K6)</f>
        <v>49</v>
      </c>
      <c r="M6" s="16"/>
    </row>
    <row r="7" ht="30.0" customHeight="1">
      <c r="A7" s="341" t="str">
        <f>PAIRINGS!B24</f>
        <v>Nate Fine</v>
      </c>
      <c r="B7" s="342" t="str">
        <f>PAIRINGS!D24</f>
        <v>Crofton</v>
      </c>
      <c r="C7" s="86">
        <v>5.0</v>
      </c>
      <c r="D7" s="86">
        <v>4.0</v>
      </c>
      <c r="E7" s="86">
        <v>5.0</v>
      </c>
      <c r="F7" s="86">
        <v>5.0</v>
      </c>
      <c r="G7" s="86">
        <v>6.0</v>
      </c>
      <c r="H7" s="86">
        <v>5.0</v>
      </c>
      <c r="I7" s="86">
        <v>5.0</v>
      </c>
      <c r="J7" s="86">
        <v>6.0</v>
      </c>
      <c r="K7" s="86">
        <v>5.0</v>
      </c>
      <c r="L7" s="71">
        <f t="shared" si="1"/>
        <v>46</v>
      </c>
      <c r="M7" s="16"/>
    </row>
    <row r="8" ht="30.0" customHeight="1">
      <c r="A8" s="78" t="str">
        <f>PAIRINGS!B25</f>
        <v>KJ Flanagan</v>
      </c>
      <c r="B8" s="237" t="str">
        <f>PAIRINGS!D25</f>
        <v>Severna Park</v>
      </c>
      <c r="C8" s="86">
        <v>7.0</v>
      </c>
      <c r="D8" s="86">
        <v>3.0</v>
      </c>
      <c r="E8" s="86">
        <v>5.0</v>
      </c>
      <c r="F8" s="86">
        <v>2.0</v>
      </c>
      <c r="G8" s="86">
        <v>4.0</v>
      </c>
      <c r="H8" s="86">
        <v>3.0</v>
      </c>
      <c r="I8" s="86">
        <v>7.0</v>
      </c>
      <c r="J8" s="86">
        <v>5.0</v>
      </c>
      <c r="K8" s="86">
        <v>6.0</v>
      </c>
      <c r="L8" s="71">
        <f t="shared" si="1"/>
        <v>42</v>
      </c>
      <c r="M8" s="16"/>
    </row>
    <row r="9" ht="30.0" customHeight="1">
      <c r="A9" s="96" t="str">
        <f>PAIRINGS!B26</f>
        <v>William Meyer</v>
      </c>
      <c r="B9" s="259" t="str">
        <f>PAIRINGS!D26</f>
        <v>Annapolis</v>
      </c>
      <c r="C9" s="101">
        <v>7.0</v>
      </c>
      <c r="D9" s="101">
        <v>5.0</v>
      </c>
      <c r="E9" s="101">
        <v>5.0</v>
      </c>
      <c r="F9" s="101">
        <v>4.0</v>
      </c>
      <c r="G9" s="101">
        <v>5.0</v>
      </c>
      <c r="H9" s="101">
        <v>6.0</v>
      </c>
      <c r="I9" s="101">
        <v>6.0</v>
      </c>
      <c r="J9" s="101">
        <v>5.0</v>
      </c>
      <c r="K9" s="101">
        <v>3.0</v>
      </c>
      <c r="L9" s="71">
        <f t="shared" si="1"/>
        <v>46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56"/>
      <c r="M12" s="56"/>
    </row>
    <row r="13" ht="30.0" customHeight="1">
      <c r="A13" s="57" t="str">
        <f t="shared" ref="A13:B13" si="2">A6</f>
        <v>Brody McCafferty</v>
      </c>
      <c r="B13" s="224" t="str">
        <f t="shared" si="2"/>
        <v>Southern</v>
      </c>
      <c r="C13" s="61">
        <v>6.0</v>
      </c>
      <c r="D13" s="61">
        <v>5.0</v>
      </c>
      <c r="E13" s="61">
        <v>6.0</v>
      </c>
      <c r="F13" s="61">
        <v>3.0</v>
      </c>
      <c r="G13" s="61"/>
      <c r="H13" s="61"/>
      <c r="I13" s="61"/>
      <c r="J13" s="61">
        <v>5.0</v>
      </c>
      <c r="K13" s="61">
        <v>5.0</v>
      </c>
      <c r="L13" s="71">
        <f t="shared" ref="L13:L16" si="4">SUM(C13:K13)</f>
        <v>30</v>
      </c>
      <c r="M13" s="71">
        <f t="shared" ref="M13:M16" si="5">SUM(L6 + L13)</f>
        <v>79</v>
      </c>
    </row>
    <row r="14" ht="30.0" customHeight="1">
      <c r="A14" s="341" t="str">
        <f t="shared" ref="A14:B14" si="3">A7</f>
        <v>Nate Fine</v>
      </c>
      <c r="B14" s="342" t="str">
        <f t="shared" si="3"/>
        <v>Crofton</v>
      </c>
      <c r="C14" s="86">
        <v>6.0</v>
      </c>
      <c r="D14" s="86">
        <v>3.0</v>
      </c>
      <c r="E14" s="86">
        <v>8.0</v>
      </c>
      <c r="F14" s="86">
        <v>3.0</v>
      </c>
      <c r="G14" s="86"/>
      <c r="H14" s="86"/>
      <c r="I14" s="86"/>
      <c r="J14" s="86">
        <v>5.0</v>
      </c>
      <c r="K14" s="86">
        <v>4.0</v>
      </c>
      <c r="L14" s="71">
        <f t="shared" si="4"/>
        <v>29</v>
      </c>
      <c r="M14" s="71">
        <f t="shared" si="5"/>
        <v>75</v>
      </c>
    </row>
    <row r="15" ht="30.0" customHeight="1">
      <c r="A15" s="78" t="str">
        <f t="shared" ref="A15:B15" si="6">A8</f>
        <v>KJ Flanagan</v>
      </c>
      <c r="B15" s="237" t="str">
        <f t="shared" si="6"/>
        <v>Severna Park</v>
      </c>
      <c r="C15" s="86">
        <v>4.0</v>
      </c>
      <c r="D15" s="86">
        <v>4.0</v>
      </c>
      <c r="E15" s="86">
        <v>6.0</v>
      </c>
      <c r="F15" s="86">
        <v>3.0</v>
      </c>
      <c r="G15" s="86"/>
      <c r="H15" s="86"/>
      <c r="I15" s="86"/>
      <c r="J15" s="86">
        <v>5.0</v>
      </c>
      <c r="K15" s="86">
        <v>5.0</v>
      </c>
      <c r="L15" s="71">
        <f t="shared" si="4"/>
        <v>27</v>
      </c>
      <c r="M15" s="71">
        <f t="shared" si="5"/>
        <v>69</v>
      </c>
    </row>
    <row r="16" ht="30.0" customHeight="1">
      <c r="A16" s="96" t="str">
        <f t="shared" ref="A16:B16" si="7">A9</f>
        <v>William Meyer</v>
      </c>
      <c r="B16" s="259" t="str">
        <f t="shared" si="7"/>
        <v>Annapolis</v>
      </c>
      <c r="C16" s="101">
        <v>4.0</v>
      </c>
      <c r="D16" s="101">
        <v>4.0</v>
      </c>
      <c r="E16" s="101">
        <v>6.0</v>
      </c>
      <c r="F16" s="101">
        <v>4.0</v>
      </c>
      <c r="G16" s="101"/>
      <c r="H16" s="101"/>
      <c r="I16" s="101"/>
      <c r="J16" s="101">
        <v>6.0</v>
      </c>
      <c r="K16" s="101">
        <v>4.0</v>
      </c>
      <c r="L16" s="71">
        <f t="shared" si="4"/>
        <v>28</v>
      </c>
      <c r="M16" s="71">
        <f t="shared" si="5"/>
        <v>74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56"/>
      <c r="M17" s="56"/>
    </row>
  </sheetData>
  <mergeCells count="1">
    <mergeCell ref="C1:F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147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PAIRINGS!F27</f>
        <v>Levine (AN)</v>
      </c>
      <c r="B2" s="34" t="str">
        <f>PAIRINGS!A27</f>
        <v>16A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56"/>
      <c r="M5" s="16"/>
    </row>
    <row r="6" ht="30.0" customHeight="1">
      <c r="A6" s="57" t="str">
        <f>PAIRINGS!B27</f>
        <v>Luca Vendemia</v>
      </c>
      <c r="B6" s="224" t="str">
        <f>PAIRINGS!D27</f>
        <v>Southern</v>
      </c>
      <c r="C6" s="61">
        <v>6.0</v>
      </c>
      <c r="D6" s="61">
        <v>5.0</v>
      </c>
      <c r="E6" s="61">
        <v>4.0</v>
      </c>
      <c r="F6" s="61">
        <v>7.0</v>
      </c>
      <c r="G6" s="61">
        <v>4.0</v>
      </c>
      <c r="H6" s="61">
        <v>4.0</v>
      </c>
      <c r="I6" s="61">
        <v>6.0</v>
      </c>
      <c r="J6" s="61">
        <v>4.0</v>
      </c>
      <c r="K6" s="61">
        <v>4.0</v>
      </c>
      <c r="L6" s="71">
        <f t="shared" ref="L6:L9" si="1">SUM(C6:K6)</f>
        <v>44</v>
      </c>
      <c r="M6" s="16"/>
    </row>
    <row r="7" ht="30.0" customHeight="1">
      <c r="A7" s="78" t="str">
        <f>PAIRINGS!B28</f>
        <v>Gianni Gallow</v>
      </c>
      <c r="B7" s="237" t="str">
        <f>PAIRINGS!D28</f>
        <v>Crofton</v>
      </c>
      <c r="C7" s="86">
        <v>5.0</v>
      </c>
      <c r="D7" s="86">
        <v>4.0</v>
      </c>
      <c r="E7" s="86">
        <v>4.0</v>
      </c>
      <c r="F7" s="86">
        <v>3.0</v>
      </c>
      <c r="G7" s="86">
        <v>7.0</v>
      </c>
      <c r="H7" s="86">
        <v>6.0</v>
      </c>
      <c r="I7" s="86">
        <v>6.0</v>
      </c>
      <c r="J7" s="86">
        <v>4.0</v>
      </c>
      <c r="K7" s="86">
        <v>5.0</v>
      </c>
      <c r="L7" s="71">
        <f t="shared" si="1"/>
        <v>44</v>
      </c>
      <c r="M7" s="16"/>
    </row>
    <row r="8" ht="30.0" customHeight="1">
      <c r="A8" s="78" t="str">
        <f>PAIRINGS!B29</f>
        <v>Colin Barry</v>
      </c>
      <c r="B8" s="237" t="str">
        <f>PAIRINGS!D29</f>
        <v>Severna Park</v>
      </c>
      <c r="C8" s="86">
        <v>7.0</v>
      </c>
      <c r="D8" s="86">
        <v>5.0</v>
      </c>
      <c r="E8" s="86">
        <v>5.0</v>
      </c>
      <c r="F8" s="86">
        <v>3.0</v>
      </c>
      <c r="G8" s="86">
        <v>3.0</v>
      </c>
      <c r="H8" s="86">
        <v>5.0</v>
      </c>
      <c r="I8" s="86">
        <v>6.0</v>
      </c>
      <c r="J8" s="86">
        <v>5.0</v>
      </c>
      <c r="K8" s="86">
        <v>5.0</v>
      </c>
      <c r="L8" s="71">
        <f t="shared" si="1"/>
        <v>44</v>
      </c>
      <c r="M8" s="16"/>
    </row>
    <row r="9" ht="30.0" customHeight="1">
      <c r="A9" s="96" t="str">
        <f>PAIRINGS!B30</f>
        <v>Paolo Maggio </v>
      </c>
      <c r="B9" s="259" t="str">
        <f>PAIRINGS!D30</f>
        <v>South River</v>
      </c>
      <c r="C9" s="101">
        <v>6.0</v>
      </c>
      <c r="D9" s="101">
        <v>4.0</v>
      </c>
      <c r="E9" s="101">
        <v>5.0</v>
      </c>
      <c r="F9" s="101">
        <v>3.0</v>
      </c>
      <c r="G9" s="101">
        <v>4.0</v>
      </c>
      <c r="H9" s="101">
        <v>4.0</v>
      </c>
      <c r="I9" s="101">
        <v>6.0</v>
      </c>
      <c r="J9" s="101">
        <v>6.0</v>
      </c>
      <c r="K9" s="101">
        <v>4.0</v>
      </c>
      <c r="L9" s="71">
        <f t="shared" si="1"/>
        <v>42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56"/>
      <c r="M12" s="56"/>
    </row>
    <row r="13" ht="30.0" customHeight="1">
      <c r="A13" s="57" t="str">
        <f t="shared" ref="A13:B13" si="2">A6</f>
        <v>Luca Vendemia</v>
      </c>
      <c r="B13" s="224" t="str">
        <f t="shared" si="2"/>
        <v>Southern</v>
      </c>
      <c r="C13" s="61">
        <v>5.0</v>
      </c>
      <c r="D13" s="61">
        <v>2.0</v>
      </c>
      <c r="E13" s="61"/>
      <c r="F13" s="61"/>
      <c r="G13" s="61"/>
      <c r="H13" s="61"/>
      <c r="I13" s="61">
        <v>8.0</v>
      </c>
      <c r="J13" s="61">
        <v>5.0</v>
      </c>
      <c r="K13" s="61">
        <v>3.0</v>
      </c>
      <c r="L13" s="71">
        <f t="shared" ref="L13:L16" si="4">SUM(C13:K13)</f>
        <v>23</v>
      </c>
      <c r="M13" s="71">
        <f t="shared" ref="M13:M16" si="5">SUM(L6 + L13)</f>
        <v>67</v>
      </c>
    </row>
    <row r="14" ht="30.0" customHeight="1">
      <c r="A14" s="78" t="str">
        <f t="shared" ref="A14:B14" si="3">A7</f>
        <v>Gianni Gallow</v>
      </c>
      <c r="B14" s="237" t="str">
        <f t="shared" si="3"/>
        <v>Crofton</v>
      </c>
      <c r="C14" s="86">
        <v>6.0</v>
      </c>
      <c r="D14" s="86">
        <v>5.0</v>
      </c>
      <c r="E14" s="86"/>
      <c r="F14" s="86"/>
      <c r="G14" s="86"/>
      <c r="H14" s="86"/>
      <c r="I14" s="86">
        <v>8.0</v>
      </c>
      <c r="J14" s="86">
        <v>5.0</v>
      </c>
      <c r="K14" s="86">
        <v>6.0</v>
      </c>
      <c r="L14" s="71">
        <f t="shared" si="4"/>
        <v>30</v>
      </c>
      <c r="M14" s="71">
        <f t="shared" si="5"/>
        <v>74</v>
      </c>
    </row>
    <row r="15" ht="30.0" customHeight="1">
      <c r="A15" s="78" t="str">
        <f t="shared" ref="A15:B15" si="6">A8</f>
        <v>Colin Barry</v>
      </c>
      <c r="B15" s="237" t="str">
        <f t="shared" si="6"/>
        <v>Severna Park</v>
      </c>
      <c r="C15" s="86">
        <v>4.0</v>
      </c>
      <c r="D15" s="86">
        <v>4.0</v>
      </c>
      <c r="E15" s="86"/>
      <c r="F15" s="86"/>
      <c r="G15" s="86"/>
      <c r="H15" s="86"/>
      <c r="I15" s="86">
        <v>6.0</v>
      </c>
      <c r="J15" s="86">
        <v>5.0</v>
      </c>
      <c r="K15" s="86">
        <v>4.0</v>
      </c>
      <c r="L15" s="71">
        <f t="shared" si="4"/>
        <v>23</v>
      </c>
      <c r="M15" s="71">
        <f t="shared" si="5"/>
        <v>67</v>
      </c>
    </row>
    <row r="16" ht="30.0" customHeight="1">
      <c r="A16" s="96" t="str">
        <f t="shared" ref="A16:B16" si="7">A9</f>
        <v>Paolo Maggio </v>
      </c>
      <c r="B16" s="259" t="str">
        <f t="shared" si="7"/>
        <v>South River</v>
      </c>
      <c r="C16" s="101">
        <v>4.0</v>
      </c>
      <c r="D16" s="101">
        <v>3.0</v>
      </c>
      <c r="E16" s="101"/>
      <c r="F16" s="101"/>
      <c r="G16" s="101"/>
      <c r="H16" s="101"/>
      <c r="I16" s="101">
        <v>8.0</v>
      </c>
      <c r="J16" s="101">
        <v>8.0</v>
      </c>
      <c r="K16" s="101">
        <v>5.0</v>
      </c>
      <c r="L16" s="71">
        <f t="shared" si="4"/>
        <v>28</v>
      </c>
      <c r="M16" s="71">
        <f t="shared" si="5"/>
        <v>70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56"/>
      <c r="M17" s="56"/>
    </row>
  </sheetData>
  <mergeCells count="1">
    <mergeCell ref="C1:F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156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PAIRINGS!F31</f>
        <v>Jocius (SO)</v>
      </c>
      <c r="B2" s="34" t="str">
        <f>PAIRINGS!A31</f>
        <v>16B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375">
        <v>6.0</v>
      </c>
      <c r="F5" s="53"/>
      <c r="G5" s="53"/>
      <c r="H5" s="53"/>
      <c r="I5" s="53"/>
      <c r="J5" s="53"/>
      <c r="K5" s="53"/>
      <c r="L5" s="56"/>
      <c r="M5" s="16"/>
    </row>
    <row r="6" ht="30.0" customHeight="1">
      <c r="A6" s="376" t="str">
        <f>PAIRINGS!B31</f>
        <v>Evan Lyman</v>
      </c>
      <c r="B6" s="377" t="str">
        <f>PAIRINGS!D31</f>
        <v>Annapolis</v>
      </c>
      <c r="C6" s="61">
        <v>7.0</v>
      </c>
      <c r="D6" s="61">
        <v>6.0</v>
      </c>
      <c r="E6" s="61">
        <v>6.0</v>
      </c>
      <c r="F6" s="378">
        <v>5.0</v>
      </c>
      <c r="G6" s="61">
        <v>6.0</v>
      </c>
      <c r="H6" s="61">
        <v>7.0</v>
      </c>
      <c r="I6" s="61">
        <v>6.0</v>
      </c>
      <c r="J6" s="61">
        <v>5.0</v>
      </c>
      <c r="K6" s="61">
        <v>9.0</v>
      </c>
      <c r="L6" s="71">
        <f t="shared" ref="L6:L9" si="1">SUM(C6:K6)</f>
        <v>57</v>
      </c>
      <c r="M6" s="16"/>
    </row>
    <row r="7" ht="30.0" customHeight="1">
      <c r="A7" s="78" t="str">
        <f>PAIRINGS!B32</f>
        <v>Charlie Ward</v>
      </c>
      <c r="B7" s="237" t="str">
        <f>PAIRINGS!D32</f>
        <v>Crofton</v>
      </c>
      <c r="C7" s="86">
        <v>6.0</v>
      </c>
      <c r="D7" s="382">
        <v>4.0</v>
      </c>
      <c r="E7" s="86">
        <v>5.0</v>
      </c>
      <c r="F7" s="86">
        <v>2.0</v>
      </c>
      <c r="G7" s="86">
        <v>5.0</v>
      </c>
      <c r="H7" s="86">
        <v>6.0</v>
      </c>
      <c r="I7" s="86">
        <v>6.0</v>
      </c>
      <c r="J7" s="86">
        <v>6.0</v>
      </c>
      <c r="K7" s="86">
        <v>6.0</v>
      </c>
      <c r="L7" s="71">
        <f t="shared" si="1"/>
        <v>46</v>
      </c>
      <c r="M7" s="16"/>
    </row>
    <row r="8" ht="30.0" customHeight="1">
      <c r="A8" s="78" t="str">
        <f>PAIRINGS!B33</f>
        <v>Nathan Reil</v>
      </c>
      <c r="B8" s="237" t="str">
        <f>PAIRINGS!D33</f>
        <v>Chesapeake</v>
      </c>
      <c r="C8" s="86">
        <v>6.0</v>
      </c>
      <c r="D8" s="382">
        <v>4.0</v>
      </c>
      <c r="E8" s="86">
        <v>5.0</v>
      </c>
      <c r="F8" s="86">
        <v>4.0</v>
      </c>
      <c r="G8" s="86">
        <v>4.0</v>
      </c>
      <c r="H8" s="86">
        <v>4.0</v>
      </c>
      <c r="I8" s="86">
        <v>6.0</v>
      </c>
      <c r="J8" s="86">
        <v>4.0</v>
      </c>
      <c r="K8" s="86">
        <v>5.0</v>
      </c>
      <c r="L8" s="71">
        <f t="shared" si="1"/>
        <v>42</v>
      </c>
      <c r="M8" s="16"/>
    </row>
    <row r="9" ht="30.0" customHeight="1">
      <c r="A9" s="385" t="str">
        <f>PAIRINGS!B34</f>
        <v>Chris Mahnke</v>
      </c>
      <c r="B9" s="386" t="str">
        <f>PAIRINGS!D34</f>
        <v>Severn Run</v>
      </c>
      <c r="C9" s="101">
        <v>7.0</v>
      </c>
      <c r="D9" s="388">
        <v>3.0</v>
      </c>
      <c r="E9" s="101">
        <v>4.0</v>
      </c>
      <c r="F9" s="101">
        <v>6.0</v>
      </c>
      <c r="G9" s="101">
        <v>5.0</v>
      </c>
      <c r="H9" s="101">
        <v>6.0</v>
      </c>
      <c r="I9" s="101">
        <v>7.0</v>
      </c>
      <c r="J9" s="101">
        <v>6.0</v>
      </c>
      <c r="K9" s="101">
        <v>7.0</v>
      </c>
      <c r="L9" s="71">
        <f t="shared" si="1"/>
        <v>51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56"/>
      <c r="M12" s="56"/>
    </row>
    <row r="13" ht="30.0" customHeight="1">
      <c r="A13" s="376" t="str">
        <f t="shared" ref="A13:B13" si="2">A6</f>
        <v>Evan Lyman</v>
      </c>
      <c r="B13" s="377" t="str">
        <f t="shared" si="2"/>
        <v>Annapolis</v>
      </c>
      <c r="C13" s="61">
        <v>5.0</v>
      </c>
      <c r="D13" s="61">
        <v>3.0</v>
      </c>
      <c r="E13" s="61"/>
      <c r="F13" s="61"/>
      <c r="G13" s="61"/>
      <c r="H13" s="61"/>
      <c r="I13" s="61">
        <v>8.0</v>
      </c>
      <c r="J13" s="61">
        <v>6.0</v>
      </c>
      <c r="K13" s="61">
        <v>6.0</v>
      </c>
      <c r="L13" s="71">
        <f t="shared" ref="L13:L16" si="4">SUM(C13:K13)</f>
        <v>28</v>
      </c>
      <c r="M13" s="71">
        <f t="shared" ref="M13:M16" si="5">SUM(L6 + L13)</f>
        <v>85</v>
      </c>
    </row>
    <row r="14" ht="30.0" customHeight="1">
      <c r="A14" s="78" t="str">
        <f t="shared" ref="A14:B14" si="3">A7</f>
        <v>Charlie Ward</v>
      </c>
      <c r="B14" s="237" t="str">
        <f t="shared" si="3"/>
        <v>Crofton</v>
      </c>
      <c r="C14" s="86">
        <v>5.0</v>
      </c>
      <c r="D14" s="86">
        <v>3.0</v>
      </c>
      <c r="E14" s="86"/>
      <c r="F14" s="86"/>
      <c r="G14" s="86"/>
      <c r="H14" s="86"/>
      <c r="I14" s="86">
        <v>6.0</v>
      </c>
      <c r="J14" s="86">
        <v>6.0</v>
      </c>
      <c r="K14" s="86">
        <v>3.0</v>
      </c>
      <c r="L14" s="71">
        <f t="shared" si="4"/>
        <v>23</v>
      </c>
      <c r="M14" s="71">
        <f t="shared" si="5"/>
        <v>69</v>
      </c>
    </row>
    <row r="15" ht="30.0" customHeight="1">
      <c r="A15" s="78" t="str">
        <f t="shared" ref="A15:B15" si="6">A8</f>
        <v>Nathan Reil</v>
      </c>
      <c r="B15" s="237" t="str">
        <f t="shared" si="6"/>
        <v>Chesapeake</v>
      </c>
      <c r="C15" s="86">
        <v>5.0</v>
      </c>
      <c r="D15" s="86">
        <v>4.0</v>
      </c>
      <c r="E15" s="86"/>
      <c r="F15" s="86"/>
      <c r="G15" s="86"/>
      <c r="H15" s="86"/>
      <c r="I15" s="86">
        <v>6.0</v>
      </c>
      <c r="J15" s="86">
        <v>4.0</v>
      </c>
      <c r="K15" s="86">
        <v>5.0</v>
      </c>
      <c r="L15" s="71">
        <f t="shared" si="4"/>
        <v>24</v>
      </c>
      <c r="M15" s="71">
        <f t="shared" si="5"/>
        <v>66</v>
      </c>
    </row>
    <row r="16" ht="30.0" customHeight="1">
      <c r="A16" s="385" t="str">
        <f t="shared" ref="A16:B16" si="7">A9</f>
        <v>Chris Mahnke</v>
      </c>
      <c r="B16" s="386" t="str">
        <f t="shared" si="7"/>
        <v>Severn Run</v>
      </c>
      <c r="C16" s="101">
        <v>5.0</v>
      </c>
      <c r="D16" s="101">
        <v>4.0</v>
      </c>
      <c r="E16" s="101"/>
      <c r="F16" s="101"/>
      <c r="G16" s="101"/>
      <c r="H16" s="101"/>
      <c r="I16" s="101">
        <v>6.0</v>
      </c>
      <c r="J16" s="101">
        <v>6.0</v>
      </c>
      <c r="K16" s="101">
        <v>5.0</v>
      </c>
      <c r="L16" s="71">
        <f t="shared" si="4"/>
        <v>26</v>
      </c>
      <c r="M16" s="71">
        <f t="shared" si="5"/>
        <v>77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56"/>
      <c r="M17" s="56"/>
    </row>
  </sheetData>
  <mergeCells count="1">
    <mergeCell ref="C1:F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159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PAIRINGS!F35</f>
        <v>Schmidt (GB)</v>
      </c>
      <c r="B2" s="34" t="str">
        <f>PAIRINGS!A35</f>
        <v>15A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56"/>
      <c r="M5" s="16"/>
    </row>
    <row r="6" ht="30.0" customHeight="1">
      <c r="A6" s="57" t="str">
        <f>PAIRINGS!B35</f>
        <v>Ethan Kelly</v>
      </c>
      <c r="B6" s="224" t="str">
        <f>PAIRINGS!D35</f>
        <v>Crofton</v>
      </c>
      <c r="C6" s="61"/>
      <c r="D6" s="61"/>
      <c r="E6" s="61"/>
      <c r="F6" s="61"/>
      <c r="G6" s="61"/>
      <c r="H6" s="61"/>
      <c r="I6" s="61"/>
      <c r="J6" s="61"/>
      <c r="K6" s="61"/>
      <c r="L6" s="71">
        <f t="shared" ref="L6:L9" si="1">SUM(C6:K6)</f>
        <v>0</v>
      </c>
      <c r="M6" s="16"/>
    </row>
    <row r="7" ht="30.0" customHeight="1">
      <c r="A7" s="78" t="str">
        <f>PAIRINGS!B36</f>
        <v>Mason Bombard</v>
      </c>
      <c r="B7" s="237" t="str">
        <f>PAIRINGS!D36</f>
        <v>Chesapeake</v>
      </c>
      <c r="C7" s="86"/>
      <c r="D7" s="86"/>
      <c r="E7" s="86"/>
      <c r="F7" s="86"/>
      <c r="G7" s="86"/>
      <c r="H7" s="86"/>
      <c r="I7" s="86"/>
      <c r="J7" s="86"/>
      <c r="K7" s="86"/>
      <c r="L7" s="71">
        <f t="shared" si="1"/>
        <v>0</v>
      </c>
      <c r="M7" s="16"/>
    </row>
    <row r="8" ht="30.0" customHeight="1">
      <c r="A8" s="78" t="str">
        <f>PAIRINGS!B37</f>
        <v>Aidan Pelkey</v>
      </c>
      <c r="B8" s="237" t="str">
        <f>PAIRINGS!D37</f>
        <v>Arundel</v>
      </c>
      <c r="C8" s="86"/>
      <c r="D8" s="86"/>
      <c r="E8" s="86"/>
      <c r="F8" s="86"/>
      <c r="G8" s="86"/>
      <c r="H8" s="86"/>
      <c r="I8" s="86"/>
      <c r="J8" s="86"/>
      <c r="K8" s="86"/>
      <c r="L8" s="71">
        <f t="shared" si="1"/>
        <v>0</v>
      </c>
      <c r="M8" s="16"/>
    </row>
    <row r="9" ht="30.0" customHeight="1">
      <c r="A9" s="96" t="str">
        <f>PAIRINGS!B38</f>
        <v>James Posey</v>
      </c>
      <c r="B9" s="259" t="str">
        <f>PAIRINGS!D38</f>
        <v>North County</v>
      </c>
      <c r="C9" s="101"/>
      <c r="D9" s="101"/>
      <c r="E9" s="101"/>
      <c r="F9" s="101"/>
      <c r="G9" s="101"/>
      <c r="H9" s="101"/>
      <c r="I9" s="101"/>
      <c r="J9" s="101"/>
      <c r="K9" s="101"/>
      <c r="L9" s="71">
        <f t="shared" si="1"/>
        <v>0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56"/>
      <c r="M12" s="56"/>
    </row>
    <row r="13" ht="30.0" customHeight="1">
      <c r="A13" s="57" t="str">
        <f t="shared" ref="A13:B13" si="2">A6</f>
        <v>Ethan Kelly</v>
      </c>
      <c r="B13" s="224" t="str">
        <f t="shared" si="2"/>
        <v>Crofton</v>
      </c>
      <c r="C13" s="61"/>
      <c r="D13" s="61"/>
      <c r="E13" s="61"/>
      <c r="F13" s="61"/>
      <c r="G13" s="61"/>
      <c r="H13" s="61"/>
      <c r="I13" s="61"/>
      <c r="J13" s="61"/>
      <c r="K13" s="61"/>
      <c r="L13" s="71">
        <f t="shared" ref="L13:L16" si="4">SUM(C13:K13)</f>
        <v>0</v>
      </c>
      <c r="M13" s="71">
        <f t="shared" ref="M13:M16" si="5">SUM(L6 + L13)</f>
        <v>0</v>
      </c>
    </row>
    <row r="14" ht="30.0" customHeight="1">
      <c r="A14" s="78" t="str">
        <f t="shared" ref="A14:B14" si="3">A7</f>
        <v>Mason Bombard</v>
      </c>
      <c r="B14" s="237" t="str">
        <f t="shared" si="3"/>
        <v>Chesapeake</v>
      </c>
      <c r="C14" s="86"/>
      <c r="D14" s="86"/>
      <c r="E14" s="86"/>
      <c r="F14" s="86"/>
      <c r="G14" s="86"/>
      <c r="H14" s="86"/>
      <c r="I14" s="86"/>
      <c r="J14" s="86"/>
      <c r="K14" s="86"/>
      <c r="L14" s="71">
        <f t="shared" si="4"/>
        <v>0</v>
      </c>
      <c r="M14" s="71">
        <f t="shared" si="5"/>
        <v>0</v>
      </c>
    </row>
    <row r="15" ht="30.0" customHeight="1">
      <c r="A15" s="78" t="str">
        <f t="shared" ref="A15:B15" si="6">A8</f>
        <v>Aidan Pelkey</v>
      </c>
      <c r="B15" s="237" t="str">
        <f t="shared" si="6"/>
        <v>Arundel</v>
      </c>
      <c r="C15" s="86"/>
      <c r="D15" s="86"/>
      <c r="E15" s="86"/>
      <c r="F15" s="86"/>
      <c r="G15" s="86"/>
      <c r="H15" s="86"/>
      <c r="I15" s="86"/>
      <c r="J15" s="86"/>
      <c r="K15" s="86"/>
      <c r="L15" s="71">
        <f t="shared" si="4"/>
        <v>0</v>
      </c>
      <c r="M15" s="71">
        <f t="shared" si="5"/>
        <v>0</v>
      </c>
    </row>
    <row r="16" ht="30.0" customHeight="1">
      <c r="A16" s="96" t="str">
        <f t="shared" ref="A16:B16" si="7">A9</f>
        <v>James Posey</v>
      </c>
      <c r="B16" s="259" t="str">
        <f t="shared" si="7"/>
        <v>North County</v>
      </c>
      <c r="C16" s="101"/>
      <c r="D16" s="101"/>
      <c r="E16" s="101"/>
      <c r="F16" s="101"/>
      <c r="G16" s="101"/>
      <c r="H16" s="394"/>
      <c r="I16" s="101"/>
      <c r="J16" s="101"/>
      <c r="K16" s="101"/>
      <c r="L16" s="71">
        <f t="shared" si="4"/>
        <v>0</v>
      </c>
      <c r="M16" s="71">
        <f t="shared" si="5"/>
        <v>0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56"/>
      <c r="M17" s="56"/>
    </row>
  </sheetData>
  <mergeCells count="1">
    <mergeCell ref="C1:F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160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PAIRINGS!F39</f>
        <v>Stimaker (BN)</v>
      </c>
      <c r="B2" s="34" t="str">
        <f>PAIRINGS!A39</f>
        <v>15B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56"/>
      <c r="M5" s="16"/>
    </row>
    <row r="6" ht="30.0" customHeight="1">
      <c r="A6" s="57" t="str">
        <f>PAIRINGS!B39</f>
        <v>Garrett James</v>
      </c>
      <c r="B6" s="224" t="str">
        <f>PAIRINGS!D39</f>
        <v>Severn Run</v>
      </c>
      <c r="C6" s="61">
        <v>8.0</v>
      </c>
      <c r="D6" s="61">
        <v>4.0</v>
      </c>
      <c r="E6" s="61">
        <v>6.0</v>
      </c>
      <c r="F6" s="61">
        <v>4.0</v>
      </c>
      <c r="G6" s="61">
        <v>7.0</v>
      </c>
      <c r="H6" s="61">
        <v>9.0</v>
      </c>
      <c r="I6" s="61">
        <v>8.0</v>
      </c>
      <c r="J6" s="61">
        <v>7.0</v>
      </c>
      <c r="K6" s="61">
        <v>6.0</v>
      </c>
      <c r="L6" s="71">
        <f t="shared" ref="L6:L9" si="1">SUM(C6:K6)</f>
        <v>59</v>
      </c>
      <c r="M6" s="16"/>
    </row>
    <row r="7" ht="30.0" customHeight="1">
      <c r="A7" s="78" t="str">
        <f>PAIRINGS!B40</f>
        <v>Rhyan Arciaga</v>
      </c>
      <c r="B7" s="237" t="str">
        <f>PAIRINGS!D40</f>
        <v>Chesapeake Science</v>
      </c>
      <c r="C7" s="86">
        <v>5.0</v>
      </c>
      <c r="D7" s="86">
        <v>4.0</v>
      </c>
      <c r="E7" s="86">
        <v>6.0</v>
      </c>
      <c r="F7" s="86">
        <v>6.0</v>
      </c>
      <c r="G7" s="86">
        <v>5.0</v>
      </c>
      <c r="H7" s="86">
        <v>6.0</v>
      </c>
      <c r="I7" s="86">
        <v>5.0</v>
      </c>
      <c r="J7" s="86">
        <v>10.0</v>
      </c>
      <c r="K7" s="86">
        <v>5.0</v>
      </c>
      <c r="L7" s="71">
        <f t="shared" si="1"/>
        <v>52</v>
      </c>
      <c r="M7" s="16"/>
    </row>
    <row r="8" ht="30.0" customHeight="1">
      <c r="A8" s="78" t="str">
        <f>PAIRINGS!B41</f>
        <v>Devin Crabbe</v>
      </c>
      <c r="B8" s="237" t="str">
        <f>PAIRINGS!D41</f>
        <v>Arundel</v>
      </c>
      <c r="C8" s="86">
        <v>8.0</v>
      </c>
      <c r="D8" s="86">
        <v>6.0</v>
      </c>
      <c r="E8" s="86">
        <v>7.0</v>
      </c>
      <c r="F8" s="86">
        <v>8.0</v>
      </c>
      <c r="G8" s="86">
        <v>5.0</v>
      </c>
      <c r="H8" s="86">
        <v>10.0</v>
      </c>
      <c r="I8" s="86">
        <v>9.0</v>
      </c>
      <c r="J8" s="86">
        <v>13.0</v>
      </c>
      <c r="K8" s="86">
        <v>7.0</v>
      </c>
      <c r="L8" s="71">
        <f t="shared" si="1"/>
        <v>73</v>
      </c>
      <c r="M8" s="16"/>
    </row>
    <row r="9" ht="30.0" customHeight="1">
      <c r="A9" s="96" t="str">
        <f>PAIRINGS!B42</f>
        <v>Griffin Boritz</v>
      </c>
      <c r="B9" s="259" t="str">
        <f>PAIRINGS!D42</f>
        <v>North County</v>
      </c>
      <c r="C9" s="101">
        <v>9.0</v>
      </c>
      <c r="D9" s="101">
        <v>4.0</v>
      </c>
      <c r="E9" s="101">
        <v>6.0</v>
      </c>
      <c r="F9" s="101">
        <v>5.0</v>
      </c>
      <c r="G9" s="101">
        <v>9.0</v>
      </c>
      <c r="H9" s="101">
        <v>6.0</v>
      </c>
      <c r="I9" s="101">
        <v>9.0</v>
      </c>
      <c r="J9" s="101">
        <v>9.0</v>
      </c>
      <c r="K9" s="101">
        <v>7.0</v>
      </c>
      <c r="L9" s="71">
        <f t="shared" si="1"/>
        <v>64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56"/>
      <c r="M12" s="56"/>
    </row>
    <row r="13" ht="30.0" customHeight="1">
      <c r="A13" s="57" t="str">
        <f t="shared" ref="A13:B13" si="2">A6</f>
        <v>Garrett James</v>
      </c>
      <c r="B13" s="224" t="str">
        <f t="shared" si="2"/>
        <v>Severn Run</v>
      </c>
      <c r="C13" s="61">
        <v>8.0</v>
      </c>
      <c r="D13" s="61">
        <v>6.0</v>
      </c>
      <c r="E13" s="61"/>
      <c r="F13" s="61"/>
      <c r="G13" s="61"/>
      <c r="H13" s="61">
        <v>7.0</v>
      </c>
      <c r="I13" s="61">
        <v>12.0</v>
      </c>
      <c r="J13" s="61">
        <v>7.0</v>
      </c>
      <c r="K13" s="61">
        <v>6.0</v>
      </c>
      <c r="L13" s="71">
        <f t="shared" ref="L13:L16" si="4">SUM(C13:K13)</f>
        <v>46</v>
      </c>
      <c r="M13" s="71">
        <f t="shared" ref="M13:M16" si="5">SUM(L6 + L13)</f>
        <v>105</v>
      </c>
    </row>
    <row r="14" ht="30.0" customHeight="1">
      <c r="A14" s="78" t="str">
        <f t="shared" ref="A14:B14" si="3">A7</f>
        <v>Rhyan Arciaga</v>
      </c>
      <c r="B14" s="237" t="str">
        <f t="shared" si="3"/>
        <v>Chesapeake Science</v>
      </c>
      <c r="C14" s="86">
        <v>4.0</v>
      </c>
      <c r="D14" s="86">
        <v>3.0</v>
      </c>
      <c r="E14" s="86"/>
      <c r="F14" s="86"/>
      <c r="G14" s="86"/>
      <c r="H14" s="86">
        <v>6.0</v>
      </c>
      <c r="I14" s="86">
        <v>7.0</v>
      </c>
      <c r="J14" s="86">
        <v>5.0</v>
      </c>
      <c r="K14" s="86">
        <v>5.0</v>
      </c>
      <c r="L14" s="71">
        <f t="shared" si="4"/>
        <v>30</v>
      </c>
      <c r="M14" s="71">
        <f t="shared" si="5"/>
        <v>82</v>
      </c>
    </row>
    <row r="15" ht="30.0" customHeight="1">
      <c r="A15" s="78" t="str">
        <f t="shared" ref="A15:B15" si="6">A8</f>
        <v>Devin Crabbe</v>
      </c>
      <c r="B15" s="237" t="str">
        <f t="shared" si="6"/>
        <v>Arundel</v>
      </c>
      <c r="C15" s="86">
        <v>8.0</v>
      </c>
      <c r="D15" s="86">
        <v>6.0</v>
      </c>
      <c r="E15" s="86"/>
      <c r="F15" s="86"/>
      <c r="G15" s="86"/>
      <c r="H15" s="86">
        <v>6.0</v>
      </c>
      <c r="I15" s="86">
        <v>13.0</v>
      </c>
      <c r="J15" s="86">
        <v>6.0</v>
      </c>
      <c r="K15" s="86">
        <v>5.0</v>
      </c>
      <c r="L15" s="71">
        <f t="shared" si="4"/>
        <v>44</v>
      </c>
      <c r="M15" s="71">
        <f t="shared" si="5"/>
        <v>117</v>
      </c>
    </row>
    <row r="16" ht="30.0" customHeight="1">
      <c r="A16" s="96" t="str">
        <f t="shared" ref="A16:B16" si="7">A9</f>
        <v>Griffin Boritz</v>
      </c>
      <c r="B16" s="259" t="str">
        <f t="shared" si="7"/>
        <v>North County</v>
      </c>
      <c r="C16" s="101">
        <v>5.0</v>
      </c>
      <c r="D16" s="101">
        <v>5.0</v>
      </c>
      <c r="E16" s="101"/>
      <c r="F16" s="101"/>
      <c r="G16" s="101"/>
      <c r="H16" s="101">
        <v>8.0</v>
      </c>
      <c r="I16" s="101">
        <v>8.0</v>
      </c>
      <c r="J16" s="101">
        <v>9.0</v>
      </c>
      <c r="K16" s="101">
        <v>6.0</v>
      </c>
      <c r="L16" s="71">
        <f t="shared" si="4"/>
        <v>41</v>
      </c>
      <c r="M16" s="71">
        <f t="shared" si="5"/>
        <v>105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56"/>
      <c r="M17" s="56"/>
    </row>
  </sheetData>
  <mergeCells count="1">
    <mergeCell ref="C1:F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171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PAIRINGS!F43</f>
        <v>McQuaid (CSP)</v>
      </c>
      <c r="B2" s="34" t="str">
        <f>PAIRINGS!A43</f>
        <v>14A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56"/>
      <c r="M5" s="16"/>
    </row>
    <row r="6" ht="30.0" customHeight="1">
      <c r="A6" s="91" t="str">
        <f>PAIRINGS!B43</f>
        <v>Kaden Wyatt</v>
      </c>
      <c r="B6" s="91" t="str">
        <f>PAIRINGS!D43</f>
        <v>Northeast</v>
      </c>
      <c r="C6" s="417">
        <v>6.0</v>
      </c>
      <c r="D6" s="61">
        <v>4.0</v>
      </c>
      <c r="E6" s="61">
        <v>6.0</v>
      </c>
      <c r="F6" s="61">
        <v>6.0</v>
      </c>
      <c r="G6" s="61">
        <v>4.0</v>
      </c>
      <c r="H6" s="61">
        <v>4.0</v>
      </c>
      <c r="I6" s="61">
        <v>6.0</v>
      </c>
      <c r="J6" s="378">
        <v>5.0</v>
      </c>
      <c r="K6" s="61"/>
      <c r="L6" s="71">
        <f t="shared" ref="L6:L9" si="1">SUM(C6:K6)</f>
        <v>41</v>
      </c>
      <c r="M6" s="16"/>
    </row>
    <row r="7" ht="30.0" customHeight="1">
      <c r="A7" s="91" t="str">
        <f>PAIRINGS!B44</f>
        <v>Cam Kellner</v>
      </c>
      <c r="B7" s="91" t="str">
        <f>PAIRINGS!D44</f>
        <v>Severn Run</v>
      </c>
      <c r="C7" s="418">
        <v>6.0</v>
      </c>
      <c r="D7" s="86">
        <v>4.0</v>
      </c>
      <c r="E7" s="86">
        <v>5.0</v>
      </c>
      <c r="F7" s="86">
        <v>4.0</v>
      </c>
      <c r="G7" s="86">
        <v>6.0</v>
      </c>
      <c r="H7" s="86">
        <v>6.0</v>
      </c>
      <c r="I7" s="86">
        <v>7.0</v>
      </c>
      <c r="J7" s="86">
        <v>6.0</v>
      </c>
      <c r="K7" s="86"/>
      <c r="L7" s="71">
        <f t="shared" si="1"/>
        <v>44</v>
      </c>
      <c r="M7" s="16"/>
    </row>
    <row r="8" ht="30.0" customHeight="1">
      <c r="A8" s="419" t="str">
        <f>PAIRINGS!B45</f>
        <v>Luke Gamble</v>
      </c>
      <c r="B8" s="420" t="str">
        <f>PAIRINGS!D45</f>
        <v>Arundel</v>
      </c>
      <c r="C8" s="418">
        <v>9.0</v>
      </c>
      <c r="D8" s="86">
        <v>5.0</v>
      </c>
      <c r="E8" s="86">
        <v>7.0</v>
      </c>
      <c r="F8" s="86">
        <v>4.0</v>
      </c>
      <c r="G8" s="86">
        <v>7.0</v>
      </c>
      <c r="H8" s="86">
        <v>4.0</v>
      </c>
      <c r="I8" s="86">
        <v>6.0</v>
      </c>
      <c r="J8" s="86">
        <v>7.0</v>
      </c>
      <c r="K8" s="86"/>
      <c r="L8" s="71">
        <f t="shared" si="1"/>
        <v>49</v>
      </c>
      <c r="M8" s="16"/>
    </row>
    <row r="9" ht="30.0" customHeight="1">
      <c r="A9" s="420" t="str">
        <f>PAIRINGS!B46</f>
        <v>Jaden Thompson </v>
      </c>
      <c r="B9" s="91" t="str">
        <f>PAIRINGS!D46</f>
        <v>South River</v>
      </c>
      <c r="C9" s="421">
        <v>6.0</v>
      </c>
      <c r="D9" s="101">
        <v>6.0</v>
      </c>
      <c r="E9" s="101">
        <v>5.0</v>
      </c>
      <c r="F9" s="101">
        <v>7.0</v>
      </c>
      <c r="G9" s="101">
        <v>5.0</v>
      </c>
      <c r="H9" s="101">
        <v>5.0</v>
      </c>
      <c r="I9" s="101">
        <v>8.0</v>
      </c>
      <c r="J9" s="101">
        <v>5.0</v>
      </c>
      <c r="K9" s="101"/>
      <c r="L9" s="71">
        <f t="shared" si="1"/>
        <v>47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329">
        <v>6.0</v>
      </c>
      <c r="H12" s="107"/>
      <c r="I12" s="107"/>
      <c r="J12" s="107"/>
      <c r="K12" s="107"/>
      <c r="L12" s="56"/>
      <c r="M12" s="56"/>
    </row>
    <row r="13" ht="30.0" customHeight="1">
      <c r="A13" s="57" t="str">
        <f t="shared" ref="A13:B13" si="2">A6</f>
        <v>Kaden Wyatt</v>
      </c>
      <c r="B13" s="224" t="str">
        <f t="shared" si="2"/>
        <v>Northeast</v>
      </c>
      <c r="C13" s="61"/>
      <c r="D13" s="61"/>
      <c r="E13" s="61"/>
      <c r="F13" s="61"/>
      <c r="G13" s="61">
        <v>6.0</v>
      </c>
      <c r="H13" s="378">
        <v>3.0</v>
      </c>
      <c r="I13" s="61">
        <v>6.0</v>
      </c>
      <c r="J13" s="61">
        <v>5.0</v>
      </c>
      <c r="K13" s="61">
        <v>6.0</v>
      </c>
      <c r="L13" s="71">
        <f t="shared" ref="L13:L16" si="4">SUM(C13:K13)</f>
        <v>26</v>
      </c>
      <c r="M13" s="71">
        <f t="shared" ref="M13:M16" si="5">SUM(L6 + L13)</f>
        <v>67</v>
      </c>
    </row>
    <row r="14" ht="30.0" customHeight="1">
      <c r="A14" s="78" t="str">
        <f t="shared" ref="A14:B14" si="3">A7</f>
        <v>Cam Kellner</v>
      </c>
      <c r="B14" s="237" t="str">
        <f t="shared" si="3"/>
        <v>Severn Run</v>
      </c>
      <c r="C14" s="86"/>
      <c r="D14" s="86"/>
      <c r="E14" s="86"/>
      <c r="F14" s="86"/>
      <c r="G14" s="86">
        <v>8.0</v>
      </c>
      <c r="H14" s="86">
        <v>6.0</v>
      </c>
      <c r="I14" s="86">
        <v>8.0</v>
      </c>
      <c r="J14" s="86">
        <v>6.0</v>
      </c>
      <c r="K14" s="86">
        <v>5.0</v>
      </c>
      <c r="L14" s="71">
        <f t="shared" si="4"/>
        <v>33</v>
      </c>
      <c r="M14" s="71">
        <f t="shared" si="5"/>
        <v>77</v>
      </c>
    </row>
    <row r="15" ht="30.0" customHeight="1">
      <c r="A15" s="422" t="s">
        <v>29</v>
      </c>
      <c r="B15" s="342" t="str">
        <f>B8</f>
        <v>Arundel</v>
      </c>
      <c r="C15" s="86"/>
      <c r="D15" s="86"/>
      <c r="E15" s="86"/>
      <c r="F15" s="86"/>
      <c r="G15" s="86">
        <v>5.0</v>
      </c>
      <c r="H15" s="86">
        <v>8.0</v>
      </c>
      <c r="I15" s="86">
        <v>7.0</v>
      </c>
      <c r="J15" s="86">
        <v>6.0</v>
      </c>
      <c r="K15" s="86">
        <v>6.0</v>
      </c>
      <c r="L15" s="71">
        <f t="shared" si="4"/>
        <v>32</v>
      </c>
      <c r="M15" s="71">
        <f t="shared" si="5"/>
        <v>81</v>
      </c>
    </row>
    <row r="16" ht="30.0" customHeight="1">
      <c r="A16" s="96" t="str">
        <f t="shared" ref="A16:B16" si="6">A9</f>
        <v>Jaden Thompson </v>
      </c>
      <c r="B16" s="259" t="str">
        <f t="shared" si="6"/>
        <v>South River</v>
      </c>
      <c r="C16" s="101"/>
      <c r="D16" s="101"/>
      <c r="E16" s="101"/>
      <c r="F16" s="101"/>
      <c r="G16" s="101">
        <v>6.0</v>
      </c>
      <c r="H16" s="101">
        <v>5.0</v>
      </c>
      <c r="I16" s="101">
        <v>6.0</v>
      </c>
      <c r="J16" s="101">
        <v>5.0</v>
      </c>
      <c r="K16" s="101">
        <v>6.0</v>
      </c>
      <c r="L16" s="71">
        <f t="shared" si="4"/>
        <v>28</v>
      </c>
      <c r="M16" s="71">
        <f t="shared" si="5"/>
        <v>75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56"/>
      <c r="M17" s="56"/>
    </row>
  </sheetData>
  <mergeCells count="1">
    <mergeCell ref="C1:F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/>
      <c r="B1" s="2" t="s">
        <v>1</v>
      </c>
      <c r="C1" s="4" t="s">
        <v>170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PAIRINGS!F47</f>
        <v>Martin (NE)</v>
      </c>
      <c r="B2" s="34" t="str">
        <f>PAIRINGS!A47</f>
        <v>14B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56"/>
      <c r="M5" s="16"/>
    </row>
    <row r="6" ht="30.0" customHeight="1">
      <c r="A6" s="91" t="str">
        <f>PAIRINGS!B47</f>
        <v>Drew Shallcross</v>
      </c>
      <c r="B6" s="91" t="str">
        <f>PAIRINGS!D47</f>
        <v>Annapolis</v>
      </c>
      <c r="C6" s="417">
        <v>8.0</v>
      </c>
      <c r="D6" s="61">
        <v>5.0</v>
      </c>
      <c r="E6" s="61">
        <v>7.0</v>
      </c>
      <c r="F6" s="61">
        <v>4.0</v>
      </c>
      <c r="G6" s="61">
        <v>4.0</v>
      </c>
      <c r="H6" s="61">
        <v>6.0</v>
      </c>
      <c r="I6" s="61">
        <v>5.0</v>
      </c>
      <c r="J6" s="378">
        <v>5.0</v>
      </c>
      <c r="K6" s="61"/>
      <c r="L6" s="71">
        <f t="shared" ref="L6:L9" si="1">SUM(C6:K6)</f>
        <v>44</v>
      </c>
      <c r="M6" s="16"/>
    </row>
    <row r="7" ht="30.0" customHeight="1">
      <c r="A7" s="91" t="str">
        <f>PAIRINGS!B48</f>
        <v>Liam Hontz</v>
      </c>
      <c r="B7" s="91" t="str">
        <f>PAIRINGS!D48</f>
        <v>North County</v>
      </c>
      <c r="C7" s="418">
        <v>9.0</v>
      </c>
      <c r="D7" s="86">
        <v>3.0</v>
      </c>
      <c r="E7" s="86">
        <v>5.0</v>
      </c>
      <c r="F7" s="86">
        <v>4.0</v>
      </c>
      <c r="G7" s="86">
        <v>6.0</v>
      </c>
      <c r="H7" s="86">
        <v>5.0</v>
      </c>
      <c r="I7" s="86">
        <v>5.0</v>
      </c>
      <c r="J7" s="86">
        <v>5.0</v>
      </c>
      <c r="K7" s="86"/>
      <c r="L7" s="71">
        <f t="shared" si="1"/>
        <v>42</v>
      </c>
      <c r="M7" s="16"/>
    </row>
    <row r="8" ht="30.0" customHeight="1">
      <c r="A8" s="419" t="str">
        <f>PAIRINGS!B49</f>
        <v>Reece Miguel</v>
      </c>
      <c r="B8" s="420" t="str">
        <f>PAIRINGS!D49</f>
        <v>Severn Run</v>
      </c>
      <c r="C8" s="418">
        <v>9.0</v>
      </c>
      <c r="D8" s="86">
        <v>5.0</v>
      </c>
      <c r="E8" s="86">
        <v>4.0</v>
      </c>
      <c r="F8" s="86">
        <v>4.0</v>
      </c>
      <c r="G8" s="86">
        <v>5.0</v>
      </c>
      <c r="H8" s="86">
        <v>6.0</v>
      </c>
      <c r="I8" s="86">
        <v>8.0</v>
      </c>
      <c r="J8" s="86">
        <v>5.0</v>
      </c>
      <c r="K8" s="86"/>
      <c r="L8" s="71">
        <f t="shared" si="1"/>
        <v>46</v>
      </c>
      <c r="M8" s="16"/>
    </row>
    <row r="9" ht="30.0" customHeight="1">
      <c r="A9" s="420" t="str">
        <f>PAIRINGS!B50</f>
        <v>Maxwell Morgan</v>
      </c>
      <c r="B9" s="91" t="str">
        <f>PAIRINGS!D50</f>
        <v>Arundel</v>
      </c>
      <c r="C9" s="421">
        <v>8.0</v>
      </c>
      <c r="D9" s="101">
        <v>4.0</v>
      </c>
      <c r="E9" s="101">
        <v>9.0</v>
      </c>
      <c r="F9" s="101">
        <v>5.0</v>
      </c>
      <c r="G9" s="101">
        <v>6.0</v>
      </c>
      <c r="H9" s="101">
        <v>6.0</v>
      </c>
      <c r="I9" s="101">
        <v>7.0</v>
      </c>
      <c r="J9" s="101">
        <v>7.0</v>
      </c>
      <c r="K9" s="101"/>
      <c r="L9" s="71">
        <f t="shared" si="1"/>
        <v>52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329">
        <v>6.0</v>
      </c>
      <c r="H12" s="107"/>
      <c r="I12" s="107"/>
      <c r="J12" s="107"/>
      <c r="K12" s="107"/>
      <c r="L12" s="56"/>
      <c r="M12" s="56"/>
    </row>
    <row r="13" ht="30.0" customHeight="1">
      <c r="A13" s="57" t="str">
        <f t="shared" ref="A13:B13" si="2">A6</f>
        <v>Drew Shallcross</v>
      </c>
      <c r="B13" s="224" t="str">
        <f t="shared" si="2"/>
        <v>Annapolis</v>
      </c>
      <c r="C13" s="61"/>
      <c r="D13" s="61"/>
      <c r="E13" s="61"/>
      <c r="F13" s="61"/>
      <c r="G13" s="61">
        <v>6.0</v>
      </c>
      <c r="H13" s="378">
        <v>6.0</v>
      </c>
      <c r="I13" s="61">
        <v>8.0</v>
      </c>
      <c r="J13" s="61">
        <v>6.0</v>
      </c>
      <c r="K13" s="61">
        <v>9.0</v>
      </c>
      <c r="L13" s="71">
        <f t="shared" ref="L13:L16" si="4">SUM(C13:K13)</f>
        <v>35</v>
      </c>
      <c r="M13" s="71">
        <f t="shared" ref="M13:M16" si="5">SUM(L6 + L13)</f>
        <v>79</v>
      </c>
    </row>
    <row r="14" ht="30.0" customHeight="1">
      <c r="A14" s="78" t="str">
        <f t="shared" ref="A14:B14" si="3">A7</f>
        <v>Liam Hontz</v>
      </c>
      <c r="B14" s="237" t="str">
        <f t="shared" si="3"/>
        <v>North County</v>
      </c>
      <c r="C14" s="86"/>
      <c r="D14" s="86"/>
      <c r="E14" s="86"/>
      <c r="F14" s="86"/>
      <c r="G14" s="86">
        <v>6.0</v>
      </c>
      <c r="H14" s="86">
        <v>5.0</v>
      </c>
      <c r="I14" s="86">
        <v>7.0</v>
      </c>
      <c r="J14" s="86">
        <v>5.0</v>
      </c>
      <c r="K14" s="86">
        <v>7.0</v>
      </c>
      <c r="L14" s="71">
        <f t="shared" si="4"/>
        <v>30</v>
      </c>
      <c r="M14" s="71">
        <f t="shared" si="5"/>
        <v>72</v>
      </c>
    </row>
    <row r="15" ht="30.0" customHeight="1">
      <c r="A15" s="341" t="str">
        <f t="shared" ref="A15:B15" si="6">A8</f>
        <v>Reece Miguel</v>
      </c>
      <c r="B15" s="342" t="str">
        <f t="shared" si="6"/>
        <v>Severn Run</v>
      </c>
      <c r="C15" s="86"/>
      <c r="D15" s="86"/>
      <c r="E15" s="86"/>
      <c r="F15" s="86"/>
      <c r="G15" s="86">
        <v>8.0</v>
      </c>
      <c r="H15" s="86">
        <v>6.0</v>
      </c>
      <c r="I15" s="86">
        <v>7.0</v>
      </c>
      <c r="J15" s="86">
        <v>8.0</v>
      </c>
      <c r="K15" s="86">
        <v>6.0</v>
      </c>
      <c r="L15" s="71">
        <f t="shared" si="4"/>
        <v>35</v>
      </c>
      <c r="M15" s="71">
        <f t="shared" si="5"/>
        <v>81</v>
      </c>
    </row>
    <row r="16" ht="30.0" customHeight="1">
      <c r="A16" s="96" t="str">
        <f t="shared" ref="A16:B16" si="7">A9</f>
        <v>Maxwell Morgan</v>
      </c>
      <c r="B16" s="259" t="str">
        <f t="shared" si="7"/>
        <v>Arundel</v>
      </c>
      <c r="C16" s="101"/>
      <c r="D16" s="101"/>
      <c r="E16" s="101"/>
      <c r="F16" s="101"/>
      <c r="G16" s="101">
        <v>8.0</v>
      </c>
      <c r="H16" s="101">
        <v>4.0</v>
      </c>
      <c r="I16" s="101">
        <v>7.0</v>
      </c>
      <c r="J16" s="101">
        <v>6.0</v>
      </c>
      <c r="K16" s="101">
        <v>9.0</v>
      </c>
      <c r="L16" s="71">
        <f t="shared" si="4"/>
        <v>34</v>
      </c>
      <c r="M16" s="71">
        <f t="shared" si="5"/>
        <v>86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329" t="s">
        <v>181</v>
      </c>
      <c r="I17" s="107"/>
      <c r="J17" s="107"/>
      <c r="K17" s="107"/>
      <c r="L17" s="56"/>
      <c r="M17" s="56"/>
    </row>
  </sheetData>
  <mergeCells count="1">
    <mergeCell ref="C1:F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179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PAIRINGS!F52</f>
        <v>White (CH)</v>
      </c>
      <c r="B2" s="34" t="str">
        <f>PAIRINGS!A52</f>
        <v>10A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56"/>
      <c r="M5" s="16"/>
    </row>
    <row r="6" ht="30.0" customHeight="1">
      <c r="A6" s="57" t="str">
        <f>PAIRINGS!B52</f>
        <v>Caroline Viscardi</v>
      </c>
      <c r="B6" s="224" t="str">
        <f>PAIRINGS!D52</f>
        <v>Broadneck</v>
      </c>
      <c r="C6" s="61">
        <v>6.0</v>
      </c>
      <c r="D6" s="61">
        <v>5.0</v>
      </c>
      <c r="E6" s="61">
        <v>5.0</v>
      </c>
      <c r="F6" s="61">
        <v>5.0</v>
      </c>
      <c r="G6" s="61">
        <v>3.0</v>
      </c>
      <c r="H6" s="61">
        <v>6.0</v>
      </c>
      <c r="I6" s="61">
        <v>6.0</v>
      </c>
      <c r="J6" s="61"/>
      <c r="K6" s="61"/>
      <c r="L6" s="71">
        <f t="shared" ref="L6:L9" si="1">SUM(C6:K6)</f>
        <v>36</v>
      </c>
      <c r="M6" s="16"/>
    </row>
    <row r="7" ht="30.0" customHeight="1">
      <c r="A7" s="78" t="str">
        <f>PAIRINGS!B53</f>
        <v>Sarah Valencia </v>
      </c>
      <c r="B7" s="237" t="str">
        <f>PAIRINGS!D53</f>
        <v>South River</v>
      </c>
      <c r="C7" s="86">
        <v>7.0</v>
      </c>
      <c r="D7" s="86">
        <v>3.0</v>
      </c>
      <c r="E7" s="86">
        <v>5.0</v>
      </c>
      <c r="F7" s="86">
        <v>4.0</v>
      </c>
      <c r="G7" s="86">
        <v>3.0</v>
      </c>
      <c r="H7" s="86">
        <v>4.0</v>
      </c>
      <c r="I7" s="86">
        <v>6.0</v>
      </c>
      <c r="J7" s="86"/>
      <c r="K7" s="86"/>
      <c r="L7" s="71">
        <f t="shared" si="1"/>
        <v>32</v>
      </c>
      <c r="M7" s="16"/>
    </row>
    <row r="8" ht="30.0" customHeight="1">
      <c r="A8" s="78" t="str">
        <f>PAIRINGS!B54</f>
        <v>Ava Shay</v>
      </c>
      <c r="B8" s="237" t="str">
        <f>PAIRINGS!D54</f>
        <v>Arundel</v>
      </c>
      <c r="C8" s="86">
        <v>8.0</v>
      </c>
      <c r="D8" s="86">
        <v>3.0</v>
      </c>
      <c r="E8" s="86">
        <v>8.0</v>
      </c>
      <c r="F8" s="86">
        <v>3.0</v>
      </c>
      <c r="G8" s="86">
        <v>6.0</v>
      </c>
      <c r="H8" s="86">
        <v>6.0</v>
      </c>
      <c r="I8" s="86">
        <v>8.0</v>
      </c>
      <c r="J8" s="86"/>
      <c r="K8" s="86"/>
      <c r="L8" s="71">
        <f t="shared" si="1"/>
        <v>42</v>
      </c>
      <c r="M8" s="16"/>
    </row>
    <row r="9" ht="30.0" customHeight="1">
      <c r="A9" s="96" t="str">
        <f>PAIRINGS!B55</f>
        <v>Marissa Liverpool</v>
      </c>
      <c r="B9" s="259" t="str">
        <f>PAIRINGS!D55</f>
        <v>Crofton</v>
      </c>
      <c r="C9" s="101">
        <v>5.0</v>
      </c>
      <c r="D9" s="101">
        <v>4.0</v>
      </c>
      <c r="E9" s="101">
        <v>6.0</v>
      </c>
      <c r="F9" s="101">
        <v>4.0</v>
      </c>
      <c r="G9" s="101">
        <v>5.0</v>
      </c>
      <c r="H9" s="101">
        <v>5.0</v>
      </c>
      <c r="I9" s="101">
        <v>8.0</v>
      </c>
      <c r="J9" s="101"/>
      <c r="K9" s="101"/>
      <c r="L9" s="71">
        <f t="shared" si="1"/>
        <v>37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56"/>
      <c r="M12" s="56"/>
    </row>
    <row r="13" ht="30.0" customHeight="1">
      <c r="A13" s="57" t="str">
        <f t="shared" ref="A13:B13" si="2">A6</f>
        <v>Caroline Viscardi</v>
      </c>
      <c r="B13" s="224" t="str">
        <f t="shared" si="2"/>
        <v>Broadneck</v>
      </c>
      <c r="C13" s="61">
        <v>4.0</v>
      </c>
      <c r="D13" s="61">
        <v>3.0</v>
      </c>
      <c r="E13" s="61">
        <v>6.0</v>
      </c>
      <c r="F13" s="61">
        <v>3.0</v>
      </c>
      <c r="G13" s="61">
        <v>6.0</v>
      </c>
      <c r="H13" s="61">
        <v>4.0</v>
      </c>
      <c r="I13" s="61">
        <v>8.0</v>
      </c>
      <c r="J13" s="61">
        <v>4.0</v>
      </c>
      <c r="K13" s="61">
        <v>5.0</v>
      </c>
      <c r="L13" s="71">
        <f t="shared" ref="L13:L16" si="4">SUM(C13:K13)</f>
        <v>43</v>
      </c>
      <c r="M13" s="71">
        <f t="shared" ref="M13:M16" si="5">SUM(L6 + L13)</f>
        <v>79</v>
      </c>
    </row>
    <row r="14" ht="30.0" customHeight="1">
      <c r="A14" s="78" t="str">
        <f t="shared" ref="A14:B14" si="3">A7</f>
        <v>Sarah Valencia </v>
      </c>
      <c r="B14" s="237" t="str">
        <f t="shared" si="3"/>
        <v>South River</v>
      </c>
      <c r="C14" s="86">
        <v>5.0</v>
      </c>
      <c r="D14" s="86">
        <v>3.0</v>
      </c>
      <c r="E14" s="86">
        <v>7.0</v>
      </c>
      <c r="F14" s="86">
        <v>5.0</v>
      </c>
      <c r="G14" s="86">
        <v>6.0</v>
      </c>
      <c r="H14" s="86">
        <v>4.0</v>
      </c>
      <c r="I14" s="86">
        <v>7.0</v>
      </c>
      <c r="J14" s="86">
        <v>5.0</v>
      </c>
      <c r="K14" s="86">
        <v>4.0</v>
      </c>
      <c r="L14" s="71">
        <f t="shared" si="4"/>
        <v>46</v>
      </c>
      <c r="M14" s="71">
        <f t="shared" si="5"/>
        <v>78</v>
      </c>
    </row>
    <row r="15" ht="30.0" customHeight="1">
      <c r="A15" s="78" t="str">
        <f t="shared" ref="A15:B15" si="6">A8</f>
        <v>Ava Shay</v>
      </c>
      <c r="B15" s="237" t="str">
        <f t="shared" si="6"/>
        <v>Arundel</v>
      </c>
      <c r="C15" s="86">
        <v>5.0</v>
      </c>
      <c r="D15" s="86">
        <v>3.0</v>
      </c>
      <c r="E15" s="86">
        <v>8.0</v>
      </c>
      <c r="F15" s="86">
        <v>4.0</v>
      </c>
      <c r="G15" s="86">
        <v>6.0</v>
      </c>
      <c r="H15" s="86">
        <v>5.0</v>
      </c>
      <c r="I15" s="86">
        <v>8.0</v>
      </c>
      <c r="J15" s="86">
        <v>6.0</v>
      </c>
      <c r="K15" s="86">
        <v>6.0</v>
      </c>
      <c r="L15" s="71">
        <f t="shared" si="4"/>
        <v>51</v>
      </c>
      <c r="M15" s="71">
        <f t="shared" si="5"/>
        <v>93</v>
      </c>
    </row>
    <row r="16" ht="30.0" customHeight="1">
      <c r="A16" s="96" t="str">
        <f t="shared" ref="A16:B16" si="7">A9</f>
        <v>Marissa Liverpool</v>
      </c>
      <c r="B16" s="259" t="str">
        <f t="shared" si="7"/>
        <v>Crofton</v>
      </c>
      <c r="C16" s="101">
        <v>7.0</v>
      </c>
      <c r="D16" s="101">
        <v>6.0</v>
      </c>
      <c r="E16" s="101">
        <v>6.0</v>
      </c>
      <c r="F16" s="101">
        <v>4.0</v>
      </c>
      <c r="G16" s="101">
        <v>7.0</v>
      </c>
      <c r="H16" s="101">
        <v>7.0</v>
      </c>
      <c r="I16" s="101">
        <v>8.0</v>
      </c>
      <c r="J16" s="101">
        <v>6.0</v>
      </c>
      <c r="K16" s="101">
        <v>8.0</v>
      </c>
      <c r="L16" s="71">
        <f t="shared" si="4"/>
        <v>59</v>
      </c>
      <c r="M16" s="71">
        <f t="shared" si="5"/>
        <v>96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56"/>
      <c r="M17" s="56"/>
    </row>
  </sheetData>
  <mergeCells count="1">
    <mergeCell ref="C1:F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180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PAIRINGS!F56</f>
        <v>Gardner (BN)</v>
      </c>
      <c r="B2" s="34" t="str">
        <f>PAIRINGS!A56</f>
        <v>10B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56"/>
      <c r="M5" s="16"/>
    </row>
    <row r="6" ht="30.0" customHeight="1">
      <c r="A6" s="57" t="str">
        <f>PAIRINGS!B56</f>
        <v>Audrey Nicely </v>
      </c>
      <c r="B6" s="224" t="str">
        <f>PAIRINGS!D56</f>
        <v>South River</v>
      </c>
      <c r="C6" s="61">
        <v>6.0</v>
      </c>
      <c r="D6" s="61">
        <v>3.0</v>
      </c>
      <c r="E6" s="61">
        <v>5.0</v>
      </c>
      <c r="F6" s="61">
        <v>4.0</v>
      </c>
      <c r="G6" s="61">
        <v>7.0</v>
      </c>
      <c r="H6" s="61">
        <v>7.0</v>
      </c>
      <c r="I6" s="61">
        <v>9.0</v>
      </c>
      <c r="J6" s="61"/>
      <c r="K6" s="61"/>
      <c r="L6" s="71">
        <f t="shared" ref="L6:L9" si="1">SUM(C6:K6)</f>
        <v>41</v>
      </c>
      <c r="M6" s="16"/>
    </row>
    <row r="7" ht="30.0" customHeight="1">
      <c r="A7" s="78" t="str">
        <f>PAIRINGS!B57</f>
        <v>Paige Morgan</v>
      </c>
      <c r="B7" s="237" t="str">
        <f>PAIRINGS!D57</f>
        <v>Arundel</v>
      </c>
      <c r="C7" s="86">
        <v>7.0</v>
      </c>
      <c r="D7" s="86">
        <v>6.0</v>
      </c>
      <c r="E7" s="86">
        <v>8.0</v>
      </c>
      <c r="F7" s="86">
        <v>4.0</v>
      </c>
      <c r="G7" s="86">
        <v>8.0</v>
      </c>
      <c r="H7" s="86">
        <v>7.0</v>
      </c>
      <c r="I7" s="86">
        <v>9.0</v>
      </c>
      <c r="J7" s="86"/>
      <c r="K7" s="86"/>
      <c r="L7" s="71">
        <f t="shared" si="1"/>
        <v>49</v>
      </c>
      <c r="M7" s="16"/>
    </row>
    <row r="8" ht="30.0" customHeight="1">
      <c r="A8" s="78" t="str">
        <f>PAIRINGS!B58</f>
        <v>Claire Kerley</v>
      </c>
      <c r="B8" s="237" t="str">
        <f>PAIRINGS!D58</f>
        <v>Crofton</v>
      </c>
      <c r="C8" s="86">
        <v>12.0</v>
      </c>
      <c r="D8" s="86">
        <v>4.0</v>
      </c>
      <c r="E8" s="86">
        <v>7.0</v>
      </c>
      <c r="F8" s="86">
        <v>5.0</v>
      </c>
      <c r="G8" s="86">
        <v>4.0</v>
      </c>
      <c r="H8" s="86">
        <v>4.0</v>
      </c>
      <c r="I8" s="86">
        <v>6.0</v>
      </c>
      <c r="J8" s="86"/>
      <c r="K8" s="86"/>
      <c r="L8" s="71">
        <f t="shared" si="1"/>
        <v>42</v>
      </c>
      <c r="M8" s="16"/>
    </row>
    <row r="9" ht="30.0" customHeight="1">
      <c r="A9" s="96" t="str">
        <f>PAIRINGS!B59</f>
        <v>Zoe Port</v>
      </c>
      <c r="B9" s="259" t="str">
        <f>PAIRINGS!D59</f>
        <v>Severna Park</v>
      </c>
      <c r="C9" s="101">
        <v>7.0</v>
      </c>
      <c r="D9" s="101">
        <v>3.0</v>
      </c>
      <c r="E9" s="101">
        <v>6.0</v>
      </c>
      <c r="F9" s="101">
        <v>6.0</v>
      </c>
      <c r="G9" s="101">
        <v>6.0</v>
      </c>
      <c r="H9" s="101">
        <v>7.0</v>
      </c>
      <c r="I9" s="101">
        <v>8.0</v>
      </c>
      <c r="J9" s="101"/>
      <c r="K9" s="101"/>
      <c r="L9" s="71">
        <f t="shared" si="1"/>
        <v>43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56"/>
      <c r="M12" s="56"/>
    </row>
    <row r="13" ht="30.0" customHeight="1">
      <c r="A13" s="57" t="str">
        <f t="shared" ref="A13:B13" si="2">A6</f>
        <v>Audrey Nicely </v>
      </c>
      <c r="B13" s="224" t="str">
        <f t="shared" si="2"/>
        <v>South River</v>
      </c>
      <c r="C13" s="61">
        <v>6.0</v>
      </c>
      <c r="D13" s="61">
        <v>4.0</v>
      </c>
      <c r="E13" s="61">
        <v>6.0</v>
      </c>
      <c r="F13" s="61">
        <v>4.0</v>
      </c>
      <c r="G13" s="61">
        <v>6.0</v>
      </c>
      <c r="H13" s="61">
        <v>3.0</v>
      </c>
      <c r="I13" s="61">
        <v>10.0</v>
      </c>
      <c r="J13" s="61">
        <v>5.0</v>
      </c>
      <c r="K13" s="61">
        <v>5.0</v>
      </c>
      <c r="L13" s="71">
        <f t="shared" ref="L13:L16" si="4">SUM(C13:K13)</f>
        <v>49</v>
      </c>
      <c r="M13" s="71">
        <f t="shared" ref="M13:M16" si="5">SUM(L6 + L13)</f>
        <v>90</v>
      </c>
    </row>
    <row r="14" ht="30.0" customHeight="1">
      <c r="A14" s="78" t="str">
        <f t="shared" ref="A14:B14" si="3">A7</f>
        <v>Paige Morgan</v>
      </c>
      <c r="B14" s="237" t="str">
        <f t="shared" si="3"/>
        <v>Arundel</v>
      </c>
      <c r="C14" s="86">
        <v>6.0</v>
      </c>
      <c r="D14" s="86">
        <v>3.0</v>
      </c>
      <c r="E14" s="86">
        <v>8.0</v>
      </c>
      <c r="F14" s="86">
        <v>6.0</v>
      </c>
      <c r="G14" s="86">
        <v>7.0</v>
      </c>
      <c r="H14" s="86">
        <v>6.0</v>
      </c>
      <c r="I14" s="86">
        <v>9.0</v>
      </c>
      <c r="J14" s="86">
        <v>8.0</v>
      </c>
      <c r="K14" s="86">
        <v>6.0</v>
      </c>
      <c r="L14" s="71">
        <f t="shared" si="4"/>
        <v>59</v>
      </c>
      <c r="M14" s="71">
        <f t="shared" si="5"/>
        <v>108</v>
      </c>
    </row>
    <row r="15" ht="30.0" customHeight="1">
      <c r="A15" s="78" t="str">
        <f t="shared" ref="A15:B15" si="6">A8</f>
        <v>Claire Kerley</v>
      </c>
      <c r="B15" s="237" t="str">
        <f t="shared" si="6"/>
        <v>Crofton</v>
      </c>
      <c r="C15" s="86">
        <v>11.0</v>
      </c>
      <c r="D15" s="86">
        <v>10.0</v>
      </c>
      <c r="E15" s="86">
        <v>9.0</v>
      </c>
      <c r="F15" s="86">
        <v>6.0</v>
      </c>
      <c r="G15" s="86">
        <v>7.0</v>
      </c>
      <c r="H15" s="86">
        <v>6.0</v>
      </c>
      <c r="I15" s="86">
        <v>7.0</v>
      </c>
      <c r="J15" s="86">
        <v>4.0</v>
      </c>
      <c r="K15" s="86">
        <v>5.0</v>
      </c>
      <c r="L15" s="71">
        <f t="shared" si="4"/>
        <v>65</v>
      </c>
      <c r="M15" s="71">
        <f t="shared" si="5"/>
        <v>107</v>
      </c>
    </row>
    <row r="16" ht="30.0" customHeight="1">
      <c r="A16" s="96" t="str">
        <f t="shared" ref="A16:B16" si="7">A9</f>
        <v>Zoe Port</v>
      </c>
      <c r="B16" s="259" t="str">
        <f t="shared" si="7"/>
        <v>Severna Park</v>
      </c>
      <c r="C16" s="101">
        <v>6.0</v>
      </c>
      <c r="D16" s="101">
        <v>7.0</v>
      </c>
      <c r="E16" s="101">
        <v>10.0</v>
      </c>
      <c r="F16" s="101">
        <v>12.0</v>
      </c>
      <c r="G16" s="101">
        <v>7.0</v>
      </c>
      <c r="H16" s="101">
        <v>4.0</v>
      </c>
      <c r="I16" s="101">
        <v>7.0</v>
      </c>
      <c r="J16" s="101">
        <v>8.0</v>
      </c>
      <c r="K16" s="101">
        <v>7.0</v>
      </c>
      <c r="L16" s="71">
        <f t="shared" si="4"/>
        <v>68</v>
      </c>
      <c r="M16" s="71">
        <f t="shared" si="5"/>
        <v>111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56"/>
      <c r="M17" s="56"/>
    </row>
  </sheetData>
  <mergeCells count="1">
    <mergeCell ref="C1:F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182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PAIRINGS!F60</f>
        <v>Caruso (SRN)</v>
      </c>
      <c r="B2" s="34" t="str">
        <f>PAIRINGS!A60</f>
        <v>9A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56"/>
      <c r="M5" s="16"/>
    </row>
    <row r="6" ht="30.0" customHeight="1">
      <c r="A6" s="57" t="str">
        <f>PAIRINGS!B60</f>
        <v>Lila Pietromica </v>
      </c>
      <c r="B6" s="224" t="str">
        <f>PAIRINGS!D60</f>
        <v>Broadneck</v>
      </c>
      <c r="C6" s="61">
        <v>8.0</v>
      </c>
      <c r="D6" s="61">
        <v>8.0</v>
      </c>
      <c r="E6" s="61">
        <v>7.0</v>
      </c>
      <c r="F6" s="61">
        <v>5.0</v>
      </c>
      <c r="G6" s="61">
        <v>9.0</v>
      </c>
      <c r="H6" s="61">
        <v>6.0</v>
      </c>
      <c r="I6" s="61"/>
      <c r="J6" s="61"/>
      <c r="K6" s="61">
        <v>7.0</v>
      </c>
      <c r="L6" s="71">
        <f t="shared" ref="L6:L9" si="1">SUM(C6:K6)</f>
        <v>50</v>
      </c>
      <c r="M6" s="16"/>
    </row>
    <row r="7" ht="30.0" customHeight="1">
      <c r="A7" s="78" t="str">
        <f>PAIRINGS!B61</f>
        <v>Lizzy Thibodeau</v>
      </c>
      <c r="B7" s="237" t="str">
        <f>PAIRINGS!D61</f>
        <v>Annapolis</v>
      </c>
      <c r="C7" s="86">
        <v>8.0</v>
      </c>
      <c r="D7" s="86">
        <v>8.0</v>
      </c>
      <c r="E7" s="382">
        <v>6.0</v>
      </c>
      <c r="F7" s="382">
        <v>3.0</v>
      </c>
      <c r="G7" s="382">
        <v>5.0</v>
      </c>
      <c r="H7" s="382">
        <v>6.0</v>
      </c>
      <c r="I7" s="86"/>
      <c r="J7" s="86"/>
      <c r="K7" s="86">
        <v>6.0</v>
      </c>
      <c r="L7" s="71">
        <f t="shared" si="1"/>
        <v>42</v>
      </c>
      <c r="M7" s="16"/>
    </row>
    <row r="8" ht="30.0" customHeight="1">
      <c r="A8" s="78" t="str">
        <f>PAIRINGS!B62</f>
        <v>Reagan Norfolk</v>
      </c>
      <c r="B8" s="237" t="str">
        <f>PAIRINGS!D62</f>
        <v>Southern</v>
      </c>
      <c r="C8" s="86">
        <v>7.0</v>
      </c>
      <c r="D8" s="86">
        <v>5.0</v>
      </c>
      <c r="E8" s="382">
        <v>9.0</v>
      </c>
      <c r="F8" s="382">
        <v>5.0</v>
      </c>
      <c r="G8" s="382">
        <v>6.0</v>
      </c>
      <c r="H8" s="382">
        <v>6.0</v>
      </c>
      <c r="I8" s="86"/>
      <c r="J8" s="86"/>
      <c r="K8" s="86">
        <v>8.0</v>
      </c>
      <c r="L8" s="71">
        <f t="shared" si="1"/>
        <v>46</v>
      </c>
      <c r="M8" s="16"/>
    </row>
    <row r="9" ht="30.0" customHeight="1">
      <c r="A9" s="96" t="str">
        <f>PAIRINGS!B63</f>
        <v>Molly Boyle</v>
      </c>
      <c r="B9" s="259" t="str">
        <f>PAIRINGS!D63</f>
        <v>Crofton</v>
      </c>
      <c r="C9" s="101">
        <v>8.0</v>
      </c>
      <c r="D9" s="101">
        <v>4.0</v>
      </c>
      <c r="E9" s="388">
        <v>7.0</v>
      </c>
      <c r="F9" s="388">
        <v>7.0</v>
      </c>
      <c r="G9" s="388">
        <v>7.0</v>
      </c>
      <c r="H9" s="388">
        <v>9.0</v>
      </c>
      <c r="I9" s="101"/>
      <c r="J9" s="101"/>
      <c r="K9" s="101">
        <v>7.0</v>
      </c>
      <c r="L9" s="71">
        <f t="shared" si="1"/>
        <v>49</v>
      </c>
      <c r="M9" s="16"/>
    </row>
    <row r="10" ht="30.0" customHeight="1">
      <c r="A10" s="104"/>
      <c r="B10" s="106"/>
      <c r="C10" s="107"/>
      <c r="D10" s="107"/>
      <c r="E10" s="329">
        <v>55.0</v>
      </c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329">
        <v>5.0</v>
      </c>
      <c r="L12" s="56"/>
      <c r="M12" s="56"/>
    </row>
    <row r="13" ht="30.0" customHeight="1">
      <c r="A13" s="57" t="str">
        <f t="shared" ref="A13:B13" si="2">A6</f>
        <v>Lila Pietromica </v>
      </c>
      <c r="B13" s="224" t="str">
        <f t="shared" si="2"/>
        <v>Broadneck</v>
      </c>
      <c r="C13" s="61">
        <v>8.0</v>
      </c>
      <c r="D13" s="61">
        <v>4.0</v>
      </c>
      <c r="E13" s="61">
        <v>8.0</v>
      </c>
      <c r="F13" s="61">
        <v>6.0</v>
      </c>
      <c r="G13" s="61">
        <v>8.0</v>
      </c>
      <c r="H13" s="61">
        <v>6.0</v>
      </c>
      <c r="I13" s="61">
        <v>7.0</v>
      </c>
      <c r="J13" s="61">
        <v>9.0</v>
      </c>
      <c r="K13" s="61">
        <v>4.0</v>
      </c>
      <c r="L13" s="425">
        <f t="shared" ref="L13:L16" si="4">SUM(C13:K13)</f>
        <v>60</v>
      </c>
      <c r="M13" s="425">
        <f t="shared" ref="M13:M16" si="5">SUM(L6 + L13)</f>
        <v>110</v>
      </c>
    </row>
    <row r="14" ht="30.0" customHeight="1">
      <c r="A14" s="78" t="str">
        <f t="shared" ref="A14:B14" si="3">A7</f>
        <v>Lizzy Thibodeau</v>
      </c>
      <c r="B14" s="237" t="str">
        <f t="shared" si="3"/>
        <v>Annapolis</v>
      </c>
      <c r="C14" s="86">
        <v>7.0</v>
      </c>
      <c r="D14" s="86">
        <v>3.0</v>
      </c>
      <c r="E14" s="86">
        <v>7.0</v>
      </c>
      <c r="F14" s="86">
        <v>5.0</v>
      </c>
      <c r="G14" s="86">
        <v>7.0</v>
      </c>
      <c r="H14" s="86">
        <v>5.0</v>
      </c>
      <c r="I14" s="86">
        <v>7.0</v>
      </c>
      <c r="J14" s="86">
        <v>4.0</v>
      </c>
      <c r="K14" s="86">
        <v>6.0</v>
      </c>
      <c r="L14" s="425">
        <f t="shared" si="4"/>
        <v>51</v>
      </c>
      <c r="M14" s="425">
        <f t="shared" si="5"/>
        <v>93</v>
      </c>
    </row>
    <row r="15" ht="30.0" customHeight="1">
      <c r="A15" s="78" t="str">
        <f t="shared" ref="A15:B15" si="6">A8</f>
        <v>Reagan Norfolk</v>
      </c>
      <c r="B15" s="237" t="str">
        <f t="shared" si="6"/>
        <v>Southern</v>
      </c>
      <c r="C15" s="86">
        <v>6.0</v>
      </c>
      <c r="D15" s="86">
        <v>4.0</v>
      </c>
      <c r="E15" s="86">
        <v>8.0</v>
      </c>
      <c r="F15" s="86">
        <v>5.0</v>
      </c>
      <c r="G15" s="86">
        <v>7.0</v>
      </c>
      <c r="H15" s="86">
        <v>5.0</v>
      </c>
      <c r="I15" s="86">
        <v>8.0</v>
      </c>
      <c r="J15" s="86">
        <v>5.0</v>
      </c>
      <c r="K15" s="86">
        <v>6.0</v>
      </c>
      <c r="L15" s="425">
        <f t="shared" si="4"/>
        <v>54</v>
      </c>
      <c r="M15" s="425">
        <f t="shared" si="5"/>
        <v>100</v>
      </c>
    </row>
    <row r="16" ht="30.0" customHeight="1">
      <c r="A16" s="96" t="str">
        <f t="shared" ref="A16:B16" si="7">A9</f>
        <v>Molly Boyle</v>
      </c>
      <c r="B16" s="259" t="str">
        <f t="shared" si="7"/>
        <v>Crofton</v>
      </c>
      <c r="C16" s="101">
        <v>8.0</v>
      </c>
      <c r="D16" s="101">
        <v>8.0</v>
      </c>
      <c r="E16" s="101">
        <v>7.0</v>
      </c>
      <c r="F16" s="101">
        <v>4.0</v>
      </c>
      <c r="G16" s="101">
        <v>6.0</v>
      </c>
      <c r="H16" s="101">
        <v>5.0</v>
      </c>
      <c r="I16" s="101">
        <v>8.0</v>
      </c>
      <c r="J16" s="101">
        <v>4.0</v>
      </c>
      <c r="K16" s="101">
        <v>7.0</v>
      </c>
      <c r="L16" s="425">
        <f t="shared" si="4"/>
        <v>57</v>
      </c>
      <c r="M16" s="425">
        <f t="shared" si="5"/>
        <v>106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53"/>
      <c r="J17" s="53"/>
      <c r="K17" s="53"/>
      <c r="L17" s="56"/>
      <c r="M17" s="56"/>
    </row>
  </sheetData>
  <mergeCells count="1">
    <mergeCell ref="C1:F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183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PAIRINGS!F64</f>
        <v>Harvan (CR)</v>
      </c>
      <c r="B2" s="34" t="str">
        <f>PAIRINGS!A64</f>
        <v>9B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56"/>
      <c r="M5" s="16"/>
    </row>
    <row r="6" ht="30.0" customHeight="1">
      <c r="A6" s="57" t="str">
        <f>PAIRINGS!B64</f>
        <v>Natalie Coe</v>
      </c>
      <c r="B6" s="224" t="str">
        <f>PAIRINGS!D64</f>
        <v>Broadneck</v>
      </c>
      <c r="C6" s="61">
        <v>12.0</v>
      </c>
      <c r="D6" s="61">
        <v>5.0</v>
      </c>
      <c r="E6" s="61">
        <v>6.0</v>
      </c>
      <c r="F6" s="61">
        <v>3.0</v>
      </c>
      <c r="G6" s="61">
        <v>8.0</v>
      </c>
      <c r="H6" s="61">
        <v>6.0</v>
      </c>
      <c r="I6" s="61"/>
      <c r="J6" s="61"/>
      <c r="K6" s="61">
        <v>5.0</v>
      </c>
      <c r="L6" s="71">
        <f t="shared" ref="L6:L9" si="1">SUM(C6:K6)</f>
        <v>45</v>
      </c>
      <c r="M6" s="16"/>
    </row>
    <row r="7" ht="30.0" customHeight="1">
      <c r="A7" s="78" t="str">
        <f>PAIRINGS!B65</f>
        <v>Lauren Finn</v>
      </c>
      <c r="B7" s="237" t="str">
        <f>PAIRINGS!D65</f>
        <v>South River</v>
      </c>
      <c r="C7" s="86">
        <v>10.0</v>
      </c>
      <c r="D7" s="86">
        <v>6.0</v>
      </c>
      <c r="E7" s="86">
        <v>8.0</v>
      </c>
      <c r="F7" s="86">
        <v>5.0</v>
      </c>
      <c r="G7" s="86">
        <v>6.0</v>
      </c>
      <c r="H7" s="86">
        <v>6.0</v>
      </c>
      <c r="I7" s="86"/>
      <c r="J7" s="86"/>
      <c r="K7" s="86">
        <v>8.0</v>
      </c>
      <c r="L7" s="71">
        <f t="shared" si="1"/>
        <v>49</v>
      </c>
      <c r="M7" s="16"/>
    </row>
    <row r="8" ht="30.0" customHeight="1">
      <c r="A8" s="423" t="s">
        <v>185</v>
      </c>
      <c r="B8" s="424" t="s">
        <v>47</v>
      </c>
      <c r="C8" s="86">
        <v>12.0</v>
      </c>
      <c r="D8" s="86">
        <v>6.0</v>
      </c>
      <c r="E8" s="86">
        <v>5.0</v>
      </c>
      <c r="F8" s="86">
        <v>4.0</v>
      </c>
      <c r="G8" s="86">
        <v>6.0</v>
      </c>
      <c r="H8" s="86">
        <v>8.0</v>
      </c>
      <c r="I8" s="86"/>
      <c r="J8" s="86"/>
      <c r="K8" s="86">
        <v>5.0</v>
      </c>
      <c r="L8" s="71">
        <f t="shared" si="1"/>
        <v>46</v>
      </c>
      <c r="M8" s="16"/>
    </row>
    <row r="9" ht="30.0" customHeight="1">
      <c r="A9" s="96" t="str">
        <f>PAIRINGS!B67</f>
        <v/>
      </c>
      <c r="B9" s="259" t="str">
        <f>PAIRINGS!D67</f>
        <v/>
      </c>
      <c r="C9" s="101"/>
      <c r="D9" s="101"/>
      <c r="E9" s="101"/>
      <c r="F9" s="101"/>
      <c r="G9" s="101"/>
      <c r="H9" s="101"/>
      <c r="I9" s="101"/>
      <c r="J9" s="101"/>
      <c r="K9" s="101"/>
      <c r="L9" s="71">
        <f t="shared" si="1"/>
        <v>0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56"/>
      <c r="M12" s="56"/>
    </row>
    <row r="13" ht="30.0" customHeight="1">
      <c r="A13" s="57" t="str">
        <f t="shared" ref="A13:B13" si="2">A6</f>
        <v>Natalie Coe</v>
      </c>
      <c r="B13" s="224" t="str">
        <f t="shared" si="2"/>
        <v>Broadneck</v>
      </c>
      <c r="C13" s="61">
        <v>3.0</v>
      </c>
      <c r="D13" s="378">
        <v>4.0</v>
      </c>
      <c r="E13" s="61">
        <v>8.0</v>
      </c>
      <c r="F13" s="61">
        <v>4.0</v>
      </c>
      <c r="G13" s="61">
        <v>9.0</v>
      </c>
      <c r="H13" s="61">
        <v>5.0</v>
      </c>
      <c r="I13" s="61">
        <v>9.0</v>
      </c>
      <c r="J13" s="61">
        <v>7.0</v>
      </c>
      <c r="K13" s="61">
        <v>5.0</v>
      </c>
      <c r="L13" s="71">
        <f t="shared" ref="L13:L16" si="4">SUM(C13:K13)</f>
        <v>54</v>
      </c>
      <c r="M13" s="71">
        <f t="shared" ref="M13:M16" si="5">SUM(L6 + L13)</f>
        <v>99</v>
      </c>
    </row>
    <row r="14" ht="30.0" customHeight="1">
      <c r="A14" s="78" t="str">
        <f t="shared" ref="A14:B14" si="3">A7</f>
        <v>Lauren Finn</v>
      </c>
      <c r="B14" s="237" t="str">
        <f t="shared" si="3"/>
        <v>South River</v>
      </c>
      <c r="C14" s="86">
        <v>6.0</v>
      </c>
      <c r="D14" s="382">
        <v>5.0</v>
      </c>
      <c r="E14" s="86">
        <v>7.0</v>
      </c>
      <c r="F14" s="86">
        <v>5.0</v>
      </c>
      <c r="G14" s="86">
        <v>8.0</v>
      </c>
      <c r="H14" s="86">
        <v>5.0</v>
      </c>
      <c r="I14" s="86">
        <v>10.0</v>
      </c>
      <c r="J14" s="86">
        <v>5.0</v>
      </c>
      <c r="K14" s="86">
        <v>8.0</v>
      </c>
      <c r="L14" s="71">
        <f t="shared" si="4"/>
        <v>59</v>
      </c>
      <c r="M14" s="71">
        <f t="shared" si="5"/>
        <v>108</v>
      </c>
    </row>
    <row r="15" ht="30.0" customHeight="1">
      <c r="A15" s="78" t="str">
        <f t="shared" ref="A15:B15" si="6">A8</f>
        <v>Bryan Calicoat</v>
      </c>
      <c r="B15" s="237" t="str">
        <f t="shared" si="6"/>
        <v>Chesapeake</v>
      </c>
      <c r="C15" s="86">
        <v>7.0</v>
      </c>
      <c r="D15" s="382">
        <v>4.0</v>
      </c>
      <c r="E15" s="86">
        <v>6.0</v>
      </c>
      <c r="F15" s="86">
        <v>4.0</v>
      </c>
      <c r="G15" s="86">
        <v>8.0</v>
      </c>
      <c r="H15" s="86">
        <v>6.0</v>
      </c>
      <c r="I15" s="86">
        <v>10.0</v>
      </c>
      <c r="J15" s="86">
        <v>8.0</v>
      </c>
      <c r="K15" s="86">
        <v>7.0</v>
      </c>
      <c r="L15" s="71">
        <f t="shared" si="4"/>
        <v>60</v>
      </c>
      <c r="M15" s="71">
        <f t="shared" si="5"/>
        <v>106</v>
      </c>
    </row>
    <row r="16" ht="30.0" customHeight="1">
      <c r="A16" s="96" t="str">
        <f t="shared" ref="A16:B16" si="7">A9</f>
        <v/>
      </c>
      <c r="B16" s="259" t="str">
        <f t="shared" si="7"/>
        <v/>
      </c>
      <c r="C16" s="101"/>
      <c r="D16" s="101"/>
      <c r="E16" s="101"/>
      <c r="F16" s="101"/>
      <c r="G16" s="101"/>
      <c r="H16" s="101"/>
      <c r="I16" s="101"/>
      <c r="J16" s="101"/>
      <c r="K16" s="101"/>
      <c r="L16" s="71">
        <f t="shared" si="4"/>
        <v>0</v>
      </c>
      <c r="M16" s="71">
        <f t="shared" si="5"/>
        <v>0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56"/>
      <c r="M17" s="56"/>
    </row>
  </sheetData>
  <mergeCells count="1">
    <mergeCell ref="C1:F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184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PAIRINGS!F68</f>
        <v>Nathan (NC)</v>
      </c>
      <c r="B2" s="34" t="str">
        <f>PAIRINGS!A68</f>
        <v>8A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375">
        <v>4.0</v>
      </c>
      <c r="G5" s="53"/>
      <c r="H5" s="53"/>
      <c r="I5" s="53"/>
      <c r="J5" s="53"/>
      <c r="K5" s="53"/>
      <c r="L5" s="56"/>
      <c r="M5" s="16"/>
    </row>
    <row r="6" ht="30.0" customHeight="1">
      <c r="A6" s="57" t="str">
        <f>PAIRINGS!B68</f>
        <v>Claire Pierpoint</v>
      </c>
      <c r="B6" s="224" t="str">
        <f>PAIRINGS!D68</f>
        <v>Broadneck</v>
      </c>
      <c r="C6" s="61"/>
      <c r="D6" s="61"/>
      <c r="E6" s="61"/>
      <c r="F6" s="61"/>
      <c r="G6" s="61"/>
      <c r="H6" s="61"/>
      <c r="I6" s="61"/>
      <c r="J6" s="61">
        <v>6.0</v>
      </c>
      <c r="K6" s="61">
        <v>5.0</v>
      </c>
      <c r="L6" s="71">
        <f t="shared" ref="L6:L9" si="1">SUM(C6:K6)</f>
        <v>11</v>
      </c>
      <c r="M6" s="16"/>
    </row>
    <row r="7" ht="30.0" customHeight="1">
      <c r="A7" s="78" t="str">
        <f>PAIRINGS!B69</f>
        <v>Emily Huus</v>
      </c>
      <c r="B7" s="237" t="str">
        <f>PAIRINGS!D69</f>
        <v>Crofton</v>
      </c>
      <c r="C7" s="86"/>
      <c r="D7" s="86"/>
      <c r="E7" s="86"/>
      <c r="F7" s="86"/>
      <c r="G7" s="86"/>
      <c r="H7" s="86"/>
      <c r="I7" s="86"/>
      <c r="J7" s="86">
        <v>6.0</v>
      </c>
      <c r="K7" s="86">
        <v>8.0</v>
      </c>
      <c r="L7" s="71">
        <f t="shared" si="1"/>
        <v>14</v>
      </c>
      <c r="M7" s="16"/>
    </row>
    <row r="8" ht="30.0" customHeight="1">
      <c r="A8" s="78" t="str">
        <f>PAIRINGS!B70</f>
        <v>Elizabeth Schlossberg </v>
      </c>
      <c r="B8" s="237" t="str">
        <f>PAIRINGS!D70</f>
        <v>South River</v>
      </c>
      <c r="C8" s="86"/>
      <c r="D8" s="86"/>
      <c r="E8" s="86"/>
      <c r="F8" s="86"/>
      <c r="G8" s="86"/>
      <c r="H8" s="86"/>
      <c r="I8" s="86"/>
      <c r="J8" s="86">
        <v>10.0</v>
      </c>
      <c r="K8" s="86">
        <v>9.0</v>
      </c>
      <c r="L8" s="71">
        <f t="shared" si="1"/>
        <v>19</v>
      </c>
      <c r="M8" s="16"/>
    </row>
    <row r="9" ht="30.0" customHeight="1">
      <c r="A9" s="96" t="str">
        <f>PAIRINGS!B71</f>
        <v/>
      </c>
      <c r="B9" s="259" t="str">
        <f>PAIRINGS!D71</f>
        <v/>
      </c>
      <c r="C9" s="101"/>
      <c r="D9" s="101"/>
      <c r="E9" s="101"/>
      <c r="F9" s="101"/>
      <c r="G9" s="101"/>
      <c r="H9" s="101"/>
      <c r="I9" s="101"/>
      <c r="J9" s="101"/>
      <c r="K9" s="101"/>
      <c r="L9" s="71">
        <f t="shared" si="1"/>
        <v>0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56"/>
      <c r="M12" s="56"/>
    </row>
    <row r="13" ht="30.0" customHeight="1">
      <c r="A13" s="57" t="str">
        <f t="shared" ref="A13:B13" si="2">A6</f>
        <v>Claire Pierpoint</v>
      </c>
      <c r="B13" s="224" t="str">
        <f t="shared" si="2"/>
        <v>Broadneck</v>
      </c>
      <c r="C13" s="61">
        <v>6.0</v>
      </c>
      <c r="D13" s="61">
        <v>4.0</v>
      </c>
      <c r="E13" s="61">
        <v>9.0</v>
      </c>
      <c r="F13" s="61">
        <v>4.0</v>
      </c>
      <c r="G13" s="61">
        <v>11.0</v>
      </c>
      <c r="H13" s="61">
        <v>6.0</v>
      </c>
      <c r="I13" s="61">
        <v>8.0</v>
      </c>
      <c r="J13" s="61">
        <v>7.0</v>
      </c>
      <c r="K13" s="61"/>
      <c r="L13" s="71">
        <f t="shared" ref="L13:L16" si="4">SUM(C13:K13)</f>
        <v>55</v>
      </c>
      <c r="M13" s="71">
        <f t="shared" ref="M13:M16" si="5">SUM(L6 + L13)</f>
        <v>66</v>
      </c>
    </row>
    <row r="14" ht="30.0" customHeight="1">
      <c r="A14" s="78" t="str">
        <f t="shared" ref="A14:B14" si="3">A7</f>
        <v>Emily Huus</v>
      </c>
      <c r="B14" s="237" t="str">
        <f t="shared" si="3"/>
        <v>Crofton</v>
      </c>
      <c r="C14" s="86">
        <v>7.0</v>
      </c>
      <c r="D14" s="382">
        <v>3.0</v>
      </c>
      <c r="E14" s="382">
        <v>9.0</v>
      </c>
      <c r="F14" s="86">
        <v>5.0</v>
      </c>
      <c r="G14" s="86">
        <v>7.0</v>
      </c>
      <c r="H14" s="86">
        <v>6.0</v>
      </c>
      <c r="I14" s="86">
        <v>10.0</v>
      </c>
      <c r="J14" s="86">
        <v>7.0</v>
      </c>
      <c r="K14" s="382"/>
      <c r="L14" s="71">
        <f t="shared" si="4"/>
        <v>54</v>
      </c>
      <c r="M14" s="71">
        <f t="shared" si="5"/>
        <v>68</v>
      </c>
    </row>
    <row r="15" ht="30.0" customHeight="1">
      <c r="A15" s="78" t="str">
        <f t="shared" ref="A15:B15" si="6">A8</f>
        <v>Elizabeth Schlossberg </v>
      </c>
      <c r="B15" s="237" t="str">
        <f t="shared" si="6"/>
        <v>South River</v>
      </c>
      <c r="C15" s="86">
        <v>9.0</v>
      </c>
      <c r="D15" s="86">
        <v>3.0</v>
      </c>
      <c r="E15" s="382">
        <v>8.0</v>
      </c>
      <c r="F15" s="86">
        <v>5.0</v>
      </c>
      <c r="G15" s="86">
        <v>6.0</v>
      </c>
      <c r="H15" s="86">
        <v>6.0</v>
      </c>
      <c r="I15" s="86">
        <v>9.0</v>
      </c>
      <c r="J15" s="86">
        <v>5.0</v>
      </c>
      <c r="K15" s="86"/>
      <c r="L15" s="71">
        <f t="shared" si="4"/>
        <v>51</v>
      </c>
      <c r="M15" s="71">
        <f t="shared" si="5"/>
        <v>70</v>
      </c>
    </row>
    <row r="16" ht="30.0" customHeight="1">
      <c r="A16" s="96" t="str">
        <f t="shared" ref="A16:B16" si="7">A9</f>
        <v/>
      </c>
      <c r="B16" s="259" t="str">
        <f t="shared" si="7"/>
        <v/>
      </c>
      <c r="C16" s="101"/>
      <c r="D16" s="101"/>
      <c r="E16" s="101"/>
      <c r="F16" s="101"/>
      <c r="G16" s="101"/>
      <c r="H16" s="101"/>
      <c r="I16" s="101"/>
      <c r="J16" s="101"/>
      <c r="K16" s="101"/>
      <c r="L16" s="71">
        <f t="shared" si="4"/>
        <v>0</v>
      </c>
      <c r="M16" s="71">
        <f t="shared" si="5"/>
        <v>0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56"/>
      <c r="M17" s="56"/>
    </row>
  </sheetData>
  <mergeCells count="1">
    <mergeCell ref="C1:F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186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PAIRINGS!F72</f>
        <v/>
      </c>
      <c r="B2" s="34" t="str">
        <f>PAIRINGS!A72</f>
        <v>8B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426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56"/>
      <c r="M5" s="16"/>
    </row>
    <row r="6" ht="30.0" customHeight="1">
      <c r="A6" s="57" t="str">
        <f>PAIRINGS!B72</f>
        <v/>
      </c>
      <c r="B6" s="224" t="str">
        <f>PAIRINGS!D72</f>
        <v/>
      </c>
      <c r="C6" s="61"/>
      <c r="D6" s="61"/>
      <c r="E6" s="61"/>
      <c r="F6" s="61"/>
      <c r="G6" s="61"/>
      <c r="H6" s="61"/>
      <c r="I6" s="61"/>
      <c r="J6" s="378"/>
      <c r="K6" s="61"/>
      <c r="L6" s="71">
        <f t="shared" ref="L6:L9" si="1">SUM(C6:K6)</f>
        <v>0</v>
      </c>
      <c r="M6" s="16"/>
    </row>
    <row r="7" ht="30.0" customHeight="1">
      <c r="A7" s="78" t="str">
        <f>PAIRINGS!B73</f>
        <v/>
      </c>
      <c r="B7" s="237" t="str">
        <f>PAIRINGS!D73</f>
        <v/>
      </c>
      <c r="C7" s="86"/>
      <c r="D7" s="86"/>
      <c r="E7" s="86"/>
      <c r="F7" s="86"/>
      <c r="G7" s="86"/>
      <c r="H7" s="86"/>
      <c r="I7" s="86"/>
      <c r="J7" s="382"/>
      <c r="K7" s="86"/>
      <c r="L7" s="71">
        <f t="shared" si="1"/>
        <v>0</v>
      </c>
      <c r="M7" s="428"/>
    </row>
    <row r="8" ht="30.0" customHeight="1">
      <c r="A8" s="78" t="str">
        <f>PAIRINGS!B74</f>
        <v/>
      </c>
      <c r="B8" s="237" t="str">
        <f>PAIRINGS!D74</f>
        <v/>
      </c>
      <c r="C8" s="86"/>
      <c r="D8" s="86"/>
      <c r="E8" s="86"/>
      <c r="F8" s="86"/>
      <c r="G8" s="86"/>
      <c r="H8" s="86"/>
      <c r="I8" s="86"/>
      <c r="J8" s="86"/>
      <c r="K8" s="86"/>
      <c r="L8" s="71">
        <f t="shared" si="1"/>
        <v>0</v>
      </c>
      <c r="M8" s="16"/>
    </row>
    <row r="9" ht="30.0" customHeight="1">
      <c r="A9" s="96" t="str">
        <f>PAIRINGS!B75</f>
        <v/>
      </c>
      <c r="B9" s="259" t="str">
        <f>PAIRINGS!D75</f>
        <v/>
      </c>
      <c r="C9" s="101"/>
      <c r="D9" s="101"/>
      <c r="E9" s="101"/>
      <c r="F9" s="101"/>
      <c r="G9" s="101"/>
      <c r="H9" s="101"/>
      <c r="I9" s="101"/>
      <c r="J9" s="101"/>
      <c r="K9" s="101"/>
      <c r="L9" s="71">
        <f t="shared" si="1"/>
        <v>0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56"/>
      <c r="M12" s="56"/>
    </row>
    <row r="13" ht="30.0" customHeight="1">
      <c r="A13" s="57" t="str">
        <f t="shared" ref="A13:B13" si="2">A6</f>
        <v/>
      </c>
      <c r="B13" s="224" t="str">
        <f t="shared" si="2"/>
        <v/>
      </c>
      <c r="C13" s="61"/>
      <c r="D13" s="61"/>
      <c r="E13" s="61"/>
      <c r="F13" s="61"/>
      <c r="G13" s="61"/>
      <c r="H13" s="61"/>
      <c r="I13" s="61"/>
      <c r="J13" s="61"/>
      <c r="K13" s="61"/>
      <c r="L13" s="71">
        <f t="shared" ref="L13:L16" si="4">SUM(C13:K13)</f>
        <v>0</v>
      </c>
      <c r="M13" s="71">
        <f t="shared" ref="M13:M16" si="5">SUM(L6 + L13)</f>
        <v>0</v>
      </c>
    </row>
    <row r="14" ht="30.0" customHeight="1">
      <c r="A14" s="78" t="str">
        <f t="shared" ref="A14:B14" si="3">A7</f>
        <v/>
      </c>
      <c r="B14" s="237" t="str">
        <f t="shared" si="3"/>
        <v/>
      </c>
      <c r="C14" s="86"/>
      <c r="D14" s="86"/>
      <c r="E14" s="86"/>
      <c r="F14" s="86"/>
      <c r="G14" s="86"/>
      <c r="H14" s="86"/>
      <c r="I14" s="86"/>
      <c r="J14" s="86"/>
      <c r="K14" s="86"/>
      <c r="L14" s="71">
        <f t="shared" si="4"/>
        <v>0</v>
      </c>
      <c r="M14" s="71">
        <f t="shared" si="5"/>
        <v>0</v>
      </c>
    </row>
    <row r="15" ht="30.0" customHeight="1">
      <c r="A15" s="78" t="str">
        <f t="shared" ref="A15:B15" si="6">A8</f>
        <v/>
      </c>
      <c r="B15" s="237" t="str">
        <f t="shared" si="6"/>
        <v/>
      </c>
      <c r="C15" s="86"/>
      <c r="D15" s="86"/>
      <c r="E15" s="86"/>
      <c r="F15" s="86"/>
      <c r="G15" s="86"/>
      <c r="H15" s="86"/>
      <c r="I15" s="86"/>
      <c r="J15" s="86"/>
      <c r="K15" s="86"/>
      <c r="L15" s="71">
        <f t="shared" si="4"/>
        <v>0</v>
      </c>
      <c r="M15" s="71">
        <f t="shared" si="5"/>
        <v>0</v>
      </c>
    </row>
    <row r="16" ht="30.0" customHeight="1">
      <c r="A16" s="96" t="str">
        <f t="shared" ref="A16:B16" si="7">A9</f>
        <v/>
      </c>
      <c r="B16" s="259" t="str">
        <f t="shared" si="7"/>
        <v/>
      </c>
      <c r="C16" s="101"/>
      <c r="D16" s="101"/>
      <c r="E16" s="101"/>
      <c r="F16" s="101"/>
      <c r="G16" s="101"/>
      <c r="H16" s="101"/>
      <c r="I16" s="101"/>
      <c r="J16" s="101"/>
      <c r="K16" s="101"/>
      <c r="L16" s="71">
        <f t="shared" si="4"/>
        <v>0</v>
      </c>
      <c r="M16" s="71">
        <f t="shared" si="5"/>
        <v>0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56"/>
      <c r="M17" s="56"/>
    </row>
  </sheetData>
  <mergeCells count="1">
    <mergeCell ref="C1:F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187</v>
      </c>
      <c r="D1" s="7"/>
      <c r="E1" s="7"/>
      <c r="F1" s="10"/>
      <c r="G1" s="12"/>
      <c r="H1" s="12"/>
      <c r="I1" s="12"/>
      <c r="J1" s="12"/>
      <c r="K1" s="16"/>
      <c r="L1" s="16"/>
      <c r="M1" s="16"/>
    </row>
    <row r="2">
      <c r="A2" s="29" t="str">
        <f>PAIRINGS!F76</f>
        <v>Campbell (CH)</v>
      </c>
      <c r="B2" s="34" t="str">
        <f>PAIRINGS!A76</f>
        <v>7A</v>
      </c>
      <c r="C2" s="16"/>
      <c r="D2" s="16"/>
      <c r="E2" s="12"/>
      <c r="F2" s="12"/>
      <c r="G2" s="16"/>
      <c r="H2" s="16"/>
      <c r="I2" s="16"/>
      <c r="J2" s="16"/>
      <c r="K2" s="16"/>
      <c r="L2" s="16"/>
      <c r="M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8" t="s">
        <v>25</v>
      </c>
      <c r="M4" s="16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56"/>
      <c r="M5" s="16"/>
    </row>
    <row r="6" ht="30.0" customHeight="1">
      <c r="A6" s="57" t="str">
        <f>PAIRINGS!B76</f>
        <v>Daniel Capo</v>
      </c>
      <c r="B6" s="224" t="str">
        <f>PAIRINGS!D76</f>
        <v>Annapolis</v>
      </c>
      <c r="C6" s="61">
        <v>8.0</v>
      </c>
      <c r="D6" s="61">
        <v>4.0</v>
      </c>
      <c r="E6" s="61">
        <v>10.0</v>
      </c>
      <c r="F6" s="61"/>
      <c r="G6" s="61"/>
      <c r="H6" s="61"/>
      <c r="I6" s="61">
        <v>12.0</v>
      </c>
      <c r="J6" s="61">
        <v>13.0</v>
      </c>
      <c r="K6" s="61">
        <v>8.0</v>
      </c>
      <c r="L6" s="71">
        <f t="shared" ref="L6:L9" si="1">SUM(C6:K6)</f>
        <v>55</v>
      </c>
      <c r="M6" s="16"/>
    </row>
    <row r="7" ht="30.0" customHeight="1">
      <c r="A7" s="78" t="str">
        <f>PAIRINGS!B77</f>
        <v>Ethan Price</v>
      </c>
      <c r="B7" s="237" t="str">
        <f>PAIRINGS!D77</f>
        <v>North County</v>
      </c>
      <c r="C7" s="86">
        <v>7.0</v>
      </c>
      <c r="D7" s="86">
        <v>3.0</v>
      </c>
      <c r="E7" s="86">
        <v>7.0</v>
      </c>
      <c r="F7" s="86"/>
      <c r="G7" s="86"/>
      <c r="H7" s="86"/>
      <c r="I7" s="86">
        <v>8.0</v>
      </c>
      <c r="J7" s="86">
        <v>6.0</v>
      </c>
      <c r="K7" s="86">
        <v>6.0</v>
      </c>
      <c r="L7" s="71">
        <f t="shared" si="1"/>
        <v>37</v>
      </c>
      <c r="M7" s="16"/>
    </row>
    <row r="8" ht="30.0" customHeight="1">
      <c r="A8" s="78" t="str">
        <f>PAIRINGS!B78</f>
        <v>Connor Giest</v>
      </c>
      <c r="B8" s="237" t="str">
        <f>PAIRINGS!D78</f>
        <v>Severn Run</v>
      </c>
      <c r="C8" s="86">
        <v>9.0</v>
      </c>
      <c r="D8" s="86">
        <v>4.0</v>
      </c>
      <c r="E8" s="86">
        <v>8.0</v>
      </c>
      <c r="F8" s="86"/>
      <c r="G8" s="86"/>
      <c r="H8" s="86"/>
      <c r="I8" s="86">
        <v>10.0</v>
      </c>
      <c r="J8" s="86">
        <v>7.0</v>
      </c>
      <c r="K8" s="86">
        <v>6.0</v>
      </c>
      <c r="L8" s="71">
        <f t="shared" si="1"/>
        <v>44</v>
      </c>
      <c r="M8" s="16"/>
    </row>
    <row r="9" ht="30.0" customHeight="1">
      <c r="A9" s="78" t="str">
        <f>PAIRINGS!B79</f>
        <v>Mason Kolodziejski</v>
      </c>
      <c r="B9" s="237" t="str">
        <f>PAIRINGS!D79</f>
        <v>Northeast</v>
      </c>
      <c r="C9" s="101">
        <v>6.0</v>
      </c>
      <c r="D9" s="101">
        <v>8.0</v>
      </c>
      <c r="E9" s="101">
        <v>6.0</v>
      </c>
      <c r="F9" s="101"/>
      <c r="G9" s="101"/>
      <c r="H9" s="101"/>
      <c r="I9" s="101">
        <v>10.0</v>
      </c>
      <c r="J9" s="101">
        <v>7.0</v>
      </c>
      <c r="K9" s="101">
        <v>5.0</v>
      </c>
      <c r="L9" s="71">
        <f t="shared" si="1"/>
        <v>42</v>
      </c>
      <c r="M9" s="16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56"/>
      <c r="M10" s="16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1">
        <v>17.0</v>
      </c>
      <c r="K11" s="1">
        <v>18.0</v>
      </c>
      <c r="L11" s="48" t="s">
        <v>21</v>
      </c>
      <c r="M11" s="48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56"/>
      <c r="M12" s="56"/>
    </row>
    <row r="13" ht="30.0" customHeight="1">
      <c r="A13" s="57" t="str">
        <f t="shared" ref="A13:B13" si="2">A6</f>
        <v>Daniel Capo</v>
      </c>
      <c r="B13" s="224" t="str">
        <f t="shared" si="2"/>
        <v>Annapolis</v>
      </c>
      <c r="C13" s="61">
        <v>7.0</v>
      </c>
      <c r="D13" s="61">
        <v>9.0</v>
      </c>
      <c r="E13" s="61">
        <v>12.0</v>
      </c>
      <c r="F13" s="61">
        <v>7.0</v>
      </c>
      <c r="G13" s="61">
        <v>9.0</v>
      </c>
      <c r="H13" s="61">
        <v>5.0</v>
      </c>
      <c r="I13" s="61">
        <v>12.0</v>
      </c>
      <c r="J13" s="61">
        <v>7.0</v>
      </c>
      <c r="K13" s="61">
        <v>5.0</v>
      </c>
      <c r="L13" s="71">
        <f t="shared" ref="L13:L16" si="4">SUM(C13:K13)</f>
        <v>73</v>
      </c>
      <c r="M13" s="71">
        <f t="shared" ref="M13:M16" si="5">SUM(L6 + L13)</f>
        <v>128</v>
      </c>
    </row>
    <row r="14" ht="30.0" customHeight="1">
      <c r="A14" s="78" t="str">
        <f t="shared" ref="A14:B14" si="3">A7</f>
        <v>Ethan Price</v>
      </c>
      <c r="B14" s="237" t="str">
        <f t="shared" si="3"/>
        <v>North County</v>
      </c>
      <c r="C14" s="86">
        <v>4.0</v>
      </c>
      <c r="D14" s="86">
        <v>3.0</v>
      </c>
      <c r="E14" s="86">
        <v>7.0</v>
      </c>
      <c r="F14" s="86">
        <v>3.0</v>
      </c>
      <c r="G14" s="86">
        <v>9.0</v>
      </c>
      <c r="H14" s="86">
        <v>5.0</v>
      </c>
      <c r="I14" s="86">
        <v>8.0</v>
      </c>
      <c r="J14" s="86">
        <v>6.0</v>
      </c>
      <c r="K14" s="86">
        <v>5.0</v>
      </c>
      <c r="L14" s="71">
        <f t="shared" si="4"/>
        <v>50</v>
      </c>
      <c r="M14" s="71">
        <f t="shared" si="5"/>
        <v>87</v>
      </c>
    </row>
    <row r="15" ht="30.0" customHeight="1">
      <c r="A15" s="78" t="str">
        <f t="shared" ref="A15:B15" si="6">A8</f>
        <v>Connor Giest</v>
      </c>
      <c r="B15" s="237" t="str">
        <f t="shared" si="6"/>
        <v>Severn Run</v>
      </c>
      <c r="C15" s="86">
        <v>10.0</v>
      </c>
      <c r="D15" s="86">
        <v>4.0</v>
      </c>
      <c r="E15" s="86">
        <v>9.0</v>
      </c>
      <c r="F15" s="86">
        <v>3.0</v>
      </c>
      <c r="G15" s="86">
        <v>6.0</v>
      </c>
      <c r="H15" s="86">
        <v>5.0</v>
      </c>
      <c r="I15" s="86">
        <v>7.0</v>
      </c>
      <c r="J15" s="86">
        <v>9.0</v>
      </c>
      <c r="K15" s="86">
        <v>7.0</v>
      </c>
      <c r="L15" s="71">
        <f t="shared" si="4"/>
        <v>60</v>
      </c>
      <c r="M15" s="71">
        <f t="shared" si="5"/>
        <v>104</v>
      </c>
    </row>
    <row r="16" ht="30.0" customHeight="1">
      <c r="A16" s="78" t="str">
        <f t="shared" ref="A16:B16" si="7">A9</f>
        <v>Mason Kolodziejski</v>
      </c>
      <c r="B16" s="237" t="str">
        <f t="shared" si="7"/>
        <v>Northeast</v>
      </c>
      <c r="C16" s="101">
        <v>5.0</v>
      </c>
      <c r="D16" s="101">
        <v>4.0</v>
      </c>
      <c r="E16" s="101">
        <v>8.0</v>
      </c>
      <c r="F16" s="101">
        <v>5.0</v>
      </c>
      <c r="G16" s="101">
        <v>6.0</v>
      </c>
      <c r="H16" s="101">
        <v>5.0</v>
      </c>
      <c r="I16" s="101">
        <v>7.0</v>
      </c>
      <c r="J16" s="101">
        <v>5.0</v>
      </c>
      <c r="K16" s="101">
        <v>5.0</v>
      </c>
      <c r="L16" s="71">
        <f t="shared" si="4"/>
        <v>50</v>
      </c>
      <c r="M16" s="71">
        <f t="shared" si="5"/>
        <v>92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56"/>
      <c r="M17" s="56"/>
    </row>
  </sheetData>
  <mergeCells count="1">
    <mergeCell ref="C1:F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188</v>
      </c>
      <c r="D1" s="7"/>
      <c r="E1" s="7"/>
      <c r="F1" s="10"/>
      <c r="G1" s="12"/>
      <c r="H1" s="12"/>
      <c r="I1" s="12"/>
      <c r="J1" s="12"/>
      <c r="K1" s="16"/>
      <c r="L1" s="427"/>
      <c r="M1" s="427"/>
    </row>
    <row r="2">
      <c r="A2" s="29" t="str">
        <f>PAIRINGS!F80</f>
        <v>K Dean (SP)</v>
      </c>
      <c r="B2" s="34" t="str">
        <f>PAIRINGS!A80</f>
        <v>7B</v>
      </c>
      <c r="C2" s="16"/>
      <c r="D2" s="16"/>
      <c r="E2" s="12"/>
      <c r="F2" s="12"/>
      <c r="G2" s="16"/>
      <c r="H2" s="16"/>
      <c r="I2" s="16"/>
      <c r="J2" s="16"/>
      <c r="K2" s="16"/>
      <c r="L2" s="427"/>
      <c r="M2" s="427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427"/>
      <c r="M3" s="427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29" t="s">
        <v>25</v>
      </c>
      <c r="M4" s="427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430"/>
      <c r="M5" s="427"/>
    </row>
    <row r="6" ht="30.0" customHeight="1">
      <c r="A6" s="57" t="str">
        <f>PAIRINGS!B80</f>
        <v>Alec Behegan</v>
      </c>
      <c r="B6" s="224" t="str">
        <f>PAIRINGS!D80</f>
        <v>North County</v>
      </c>
      <c r="C6" s="86">
        <v>8.0</v>
      </c>
      <c r="D6" s="86">
        <v>4.0</v>
      </c>
      <c r="E6" s="86"/>
      <c r="F6" s="86"/>
      <c r="G6" s="86"/>
      <c r="H6" s="86"/>
      <c r="I6" s="86">
        <v>8.0</v>
      </c>
      <c r="J6" s="86">
        <v>8.0</v>
      </c>
      <c r="K6" s="86">
        <v>6.0</v>
      </c>
      <c r="L6" s="71">
        <f t="shared" ref="L6:L9" si="1">SUM(C6:K6)</f>
        <v>34</v>
      </c>
      <c r="M6" s="427"/>
    </row>
    <row r="7" ht="30.0" customHeight="1">
      <c r="A7" s="78" t="str">
        <f>PAIRINGS!B81</f>
        <v>Dylan Morgan</v>
      </c>
      <c r="B7" s="237" t="str">
        <f>PAIRINGS!D81</f>
        <v>Chesapeake Science</v>
      </c>
      <c r="C7" s="86">
        <v>8.0</v>
      </c>
      <c r="D7" s="86">
        <v>4.0</v>
      </c>
      <c r="E7" s="86"/>
      <c r="F7" s="86"/>
      <c r="G7" s="86"/>
      <c r="H7" s="86"/>
      <c r="I7" s="86">
        <v>6.0</v>
      </c>
      <c r="J7" s="431">
        <v>9.0</v>
      </c>
      <c r="K7" s="431">
        <v>6.0</v>
      </c>
      <c r="L7" s="71">
        <f t="shared" si="1"/>
        <v>33</v>
      </c>
      <c r="M7" s="427"/>
    </row>
    <row r="8" ht="30.0" customHeight="1">
      <c r="A8" s="78" t="str">
        <f>PAIRINGS!B82</f>
        <v>Brandon Rochon</v>
      </c>
      <c r="B8" s="237" t="str">
        <f>PAIRINGS!D82</f>
        <v>Severn Run</v>
      </c>
      <c r="C8" s="86">
        <v>8.0</v>
      </c>
      <c r="D8" s="86">
        <v>4.0</v>
      </c>
      <c r="E8" s="86"/>
      <c r="F8" s="86"/>
      <c r="G8" s="86"/>
      <c r="H8" s="86"/>
      <c r="I8" s="86">
        <v>8.0</v>
      </c>
      <c r="J8" s="86">
        <v>5.0</v>
      </c>
      <c r="K8" s="431">
        <v>5.0</v>
      </c>
      <c r="L8" s="71">
        <f t="shared" si="1"/>
        <v>30</v>
      </c>
      <c r="M8" s="427"/>
    </row>
    <row r="9" ht="30.0" customHeight="1">
      <c r="A9" s="423" t="str">
        <f>PAIRINGS!B83</f>
        <v>Ethan Berry</v>
      </c>
      <c r="B9" s="237" t="str">
        <f>PAIRINGS!D83</f>
        <v>South River</v>
      </c>
      <c r="C9" s="86">
        <v>6.0</v>
      </c>
      <c r="D9" s="86">
        <v>4.0</v>
      </c>
      <c r="E9" s="86"/>
      <c r="F9" s="86"/>
      <c r="G9" s="86"/>
      <c r="H9" s="86"/>
      <c r="I9" s="86">
        <v>7.0</v>
      </c>
      <c r="J9" s="431">
        <v>6.0</v>
      </c>
      <c r="K9" s="431">
        <v>5.0</v>
      </c>
      <c r="L9" s="71">
        <f t="shared" si="1"/>
        <v>28</v>
      </c>
      <c r="M9" s="427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432"/>
      <c r="L10" s="430"/>
      <c r="M10" s="427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332">
        <v>17.0</v>
      </c>
      <c r="K11" s="1">
        <v>18.0</v>
      </c>
      <c r="L11" s="429" t="s">
        <v>21</v>
      </c>
      <c r="M11" s="429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432"/>
      <c r="L12" s="430"/>
      <c r="M12" s="430"/>
    </row>
    <row r="13" ht="30.0" customHeight="1">
      <c r="A13" s="98" t="str">
        <f t="shared" ref="A13:B13" si="2">A6</f>
        <v>Alec Behegan</v>
      </c>
      <c r="B13" s="103" t="str">
        <f t="shared" si="2"/>
        <v>North County</v>
      </c>
      <c r="C13" s="433">
        <v>5.0</v>
      </c>
      <c r="D13" s="433">
        <v>5.0</v>
      </c>
      <c r="E13" s="433">
        <v>7.0</v>
      </c>
      <c r="F13" s="433">
        <v>5.0</v>
      </c>
      <c r="G13" s="433">
        <v>11.0</v>
      </c>
      <c r="H13" s="434">
        <v>5.0</v>
      </c>
      <c r="I13" s="434">
        <v>6.0</v>
      </c>
      <c r="J13" s="434">
        <v>5.0</v>
      </c>
      <c r="K13" s="434">
        <v>5.0</v>
      </c>
      <c r="L13" s="71">
        <f t="shared" ref="L13:L16" si="4">SUM(C13:K13)</f>
        <v>54</v>
      </c>
      <c r="M13" s="71">
        <f t="shared" ref="M13:M16" si="5">SUM(L6 + L13)</f>
        <v>88</v>
      </c>
    </row>
    <row r="14" ht="30.0" customHeight="1">
      <c r="A14" s="115" t="str">
        <f t="shared" ref="A14:B14" si="3">A7</f>
        <v>Dylan Morgan</v>
      </c>
      <c r="B14" s="118" t="str">
        <f t="shared" si="3"/>
        <v>Chesapeake Science</v>
      </c>
      <c r="C14" s="434">
        <v>6.0</v>
      </c>
      <c r="D14" s="434">
        <v>4.0</v>
      </c>
      <c r="E14" s="434">
        <v>7.0</v>
      </c>
      <c r="F14" s="434">
        <v>3.0</v>
      </c>
      <c r="G14" s="434">
        <v>7.0</v>
      </c>
      <c r="H14" s="434">
        <v>6.0</v>
      </c>
      <c r="I14" s="434">
        <v>8.0</v>
      </c>
      <c r="J14" s="431">
        <v>6.0</v>
      </c>
      <c r="K14" s="434">
        <v>5.0</v>
      </c>
      <c r="L14" s="71">
        <f t="shared" si="4"/>
        <v>52</v>
      </c>
      <c r="M14" s="71">
        <f t="shared" si="5"/>
        <v>85</v>
      </c>
    </row>
    <row r="15" ht="30.0" customHeight="1">
      <c r="A15" s="115" t="str">
        <f t="shared" ref="A15:B15" si="6">A8</f>
        <v>Brandon Rochon</v>
      </c>
      <c r="B15" s="118" t="str">
        <f t="shared" si="6"/>
        <v>Severn Run</v>
      </c>
      <c r="C15" s="434">
        <v>5.0</v>
      </c>
      <c r="D15" s="434">
        <v>4.0</v>
      </c>
      <c r="E15" s="434">
        <v>6.0</v>
      </c>
      <c r="F15" s="434">
        <v>4.0</v>
      </c>
      <c r="G15" s="434">
        <v>4.0</v>
      </c>
      <c r="H15" s="434">
        <v>3.0</v>
      </c>
      <c r="I15" s="434">
        <v>8.0</v>
      </c>
      <c r="J15" s="431">
        <v>5.0</v>
      </c>
      <c r="K15" s="434">
        <v>7.0</v>
      </c>
      <c r="L15" s="71">
        <f t="shared" si="4"/>
        <v>46</v>
      </c>
      <c r="M15" s="71">
        <f t="shared" si="5"/>
        <v>76</v>
      </c>
    </row>
    <row r="16" ht="30.0" customHeight="1">
      <c r="A16" s="435" t="str">
        <f t="shared" ref="A16:B16" si="7">A9</f>
        <v>Ethan Berry</v>
      </c>
      <c r="B16" s="118" t="str">
        <f t="shared" si="7"/>
        <v>South River</v>
      </c>
      <c r="C16" s="436">
        <v>6.0</v>
      </c>
      <c r="D16" s="436">
        <v>5.0</v>
      </c>
      <c r="E16" s="436">
        <v>9.0</v>
      </c>
      <c r="F16" s="436">
        <v>6.0</v>
      </c>
      <c r="G16" s="436">
        <v>9.0</v>
      </c>
      <c r="H16" s="434">
        <v>5.0</v>
      </c>
      <c r="I16" s="434">
        <v>7.0</v>
      </c>
      <c r="J16" s="431">
        <v>7.0</v>
      </c>
      <c r="K16" s="431">
        <v>7.0</v>
      </c>
      <c r="L16" s="71">
        <f t="shared" si="4"/>
        <v>61</v>
      </c>
      <c r="M16" s="71">
        <f t="shared" si="5"/>
        <v>89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432"/>
      <c r="L17" s="430"/>
      <c r="M17" s="430"/>
    </row>
  </sheetData>
  <mergeCells count="1">
    <mergeCell ref="C1:F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189</v>
      </c>
      <c r="D1" s="7"/>
      <c r="E1" s="7"/>
      <c r="F1" s="10"/>
      <c r="G1" s="12"/>
      <c r="H1" s="12"/>
      <c r="I1" s="12"/>
      <c r="J1" s="12"/>
      <c r="K1" s="16"/>
      <c r="L1" s="427"/>
      <c r="M1" s="427"/>
    </row>
    <row r="2">
      <c r="A2" s="29" t="str">
        <f>PAIRINGS!F84</f>
        <v>Fein (SRN)</v>
      </c>
      <c r="B2" s="34" t="str">
        <f>PAIRINGS!A84</f>
        <v>6A</v>
      </c>
      <c r="C2" s="16"/>
      <c r="D2" s="16"/>
      <c r="E2" s="12"/>
      <c r="F2" s="12"/>
      <c r="G2" s="16"/>
      <c r="H2" s="16"/>
      <c r="I2" s="16"/>
      <c r="J2" s="16"/>
      <c r="K2" s="16"/>
      <c r="L2" s="427"/>
      <c r="M2" s="427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427"/>
      <c r="M3" s="427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29" t="s">
        <v>25</v>
      </c>
      <c r="M4" s="427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430"/>
      <c r="M5" s="427"/>
    </row>
    <row r="6" ht="30.0" customHeight="1">
      <c r="A6" s="57" t="str">
        <f>PAIRINGS!B84</f>
        <v>Nate Alimo</v>
      </c>
      <c r="B6" s="224" t="str">
        <f>PAIRINGS!D84</f>
        <v>North County</v>
      </c>
      <c r="C6" s="86">
        <v>7.0</v>
      </c>
      <c r="D6" s="86"/>
      <c r="E6" s="86"/>
      <c r="F6" s="86"/>
      <c r="G6" s="86"/>
      <c r="H6" s="86">
        <v>7.0</v>
      </c>
      <c r="I6" s="86">
        <v>8.0</v>
      </c>
      <c r="J6" s="86">
        <v>5.0</v>
      </c>
      <c r="K6" s="86">
        <v>6.0</v>
      </c>
      <c r="L6" s="71">
        <f t="shared" ref="L6:L9" si="1">SUM(C6:K6)</f>
        <v>33</v>
      </c>
      <c r="M6" s="427"/>
    </row>
    <row r="7" ht="30.0" customHeight="1">
      <c r="A7" s="78" t="str">
        <f>PAIRINGS!B85</f>
        <v>Jack Smith</v>
      </c>
      <c r="B7" s="237" t="str">
        <f>PAIRINGS!D85</f>
        <v>Broadneck</v>
      </c>
      <c r="C7" s="86">
        <v>5.0</v>
      </c>
      <c r="D7" s="86"/>
      <c r="E7" s="86"/>
      <c r="F7" s="86"/>
      <c r="G7" s="86"/>
      <c r="H7" s="86">
        <v>5.0</v>
      </c>
      <c r="I7" s="86">
        <v>5.0</v>
      </c>
      <c r="J7" s="431">
        <v>8.0</v>
      </c>
      <c r="K7" s="431">
        <v>6.0</v>
      </c>
      <c r="L7" s="71">
        <f t="shared" si="1"/>
        <v>29</v>
      </c>
      <c r="M7" s="427"/>
    </row>
    <row r="8" ht="30.0" customHeight="1">
      <c r="A8" s="78" t="str">
        <f>PAIRINGS!B86</f>
        <v>Ethan Goughenour</v>
      </c>
      <c r="B8" s="237" t="str">
        <f>PAIRINGS!D86</f>
        <v>Old Mill</v>
      </c>
      <c r="C8" s="86">
        <v>8.0</v>
      </c>
      <c r="D8" s="86"/>
      <c r="E8" s="86"/>
      <c r="F8" s="86"/>
      <c r="G8" s="86"/>
      <c r="H8" s="86">
        <v>6.0</v>
      </c>
      <c r="I8" s="86">
        <v>11.0</v>
      </c>
      <c r="J8" s="86">
        <v>8.0</v>
      </c>
      <c r="K8" s="431">
        <v>8.0</v>
      </c>
      <c r="L8" s="71">
        <f t="shared" si="1"/>
        <v>41</v>
      </c>
      <c r="M8" s="427"/>
    </row>
    <row r="9" ht="30.0" customHeight="1">
      <c r="A9" s="423" t="str">
        <f>PAIRINGS!B87</f>
        <v>Brooks Bailey</v>
      </c>
      <c r="B9" s="237" t="str">
        <f>PAIRINGS!D87</f>
        <v>South River</v>
      </c>
      <c r="C9" s="86">
        <v>6.0</v>
      </c>
      <c r="D9" s="86"/>
      <c r="E9" s="86"/>
      <c r="F9" s="86"/>
      <c r="G9" s="86"/>
      <c r="H9" s="86">
        <v>7.0</v>
      </c>
      <c r="I9" s="86">
        <v>7.0</v>
      </c>
      <c r="J9" s="431">
        <v>4.0</v>
      </c>
      <c r="K9" s="431">
        <v>5.0</v>
      </c>
      <c r="L9" s="71">
        <f t="shared" si="1"/>
        <v>29</v>
      </c>
      <c r="M9" s="427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432"/>
      <c r="L10" s="430"/>
      <c r="M10" s="427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332">
        <v>17.0</v>
      </c>
      <c r="K11" s="1">
        <v>18.0</v>
      </c>
      <c r="L11" s="429" t="s">
        <v>21</v>
      </c>
      <c r="M11" s="429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432"/>
      <c r="L12" s="430"/>
      <c r="M12" s="430"/>
    </row>
    <row r="13" ht="30.0" customHeight="1">
      <c r="A13" s="98" t="str">
        <f t="shared" ref="A13:B13" si="2">A6</f>
        <v>Nate Alimo</v>
      </c>
      <c r="B13" s="103" t="str">
        <f t="shared" si="2"/>
        <v>North County</v>
      </c>
      <c r="C13" s="433">
        <v>4.0</v>
      </c>
      <c r="D13" s="433">
        <v>5.0</v>
      </c>
      <c r="E13" s="433">
        <v>6.0</v>
      </c>
      <c r="F13" s="433">
        <v>8.0</v>
      </c>
      <c r="G13" s="433">
        <v>7.0</v>
      </c>
      <c r="H13" s="434">
        <v>5.0</v>
      </c>
      <c r="I13" s="434">
        <v>8.0</v>
      </c>
      <c r="J13" s="434">
        <v>6.0</v>
      </c>
      <c r="K13" s="434">
        <v>5.0</v>
      </c>
      <c r="L13" s="71">
        <f t="shared" ref="L13:L16" si="4">SUM(C13:K13)</f>
        <v>54</v>
      </c>
      <c r="M13" s="71">
        <f t="shared" ref="M13:M16" si="5">SUM(L6 + L13)</f>
        <v>87</v>
      </c>
    </row>
    <row r="14" ht="30.0" customHeight="1">
      <c r="A14" s="115" t="str">
        <f t="shared" ref="A14:B14" si="3">A7</f>
        <v>Jack Smith</v>
      </c>
      <c r="B14" s="118" t="str">
        <f t="shared" si="3"/>
        <v>Broadneck</v>
      </c>
      <c r="C14" s="434">
        <v>5.0</v>
      </c>
      <c r="D14" s="434">
        <v>4.0</v>
      </c>
      <c r="E14" s="434">
        <v>5.0</v>
      </c>
      <c r="F14" s="434">
        <v>4.0</v>
      </c>
      <c r="G14" s="434">
        <v>6.0</v>
      </c>
      <c r="H14" s="434">
        <v>5.0</v>
      </c>
      <c r="I14" s="434">
        <v>6.0</v>
      </c>
      <c r="J14" s="431">
        <v>4.0</v>
      </c>
      <c r="K14" s="434">
        <v>5.0</v>
      </c>
      <c r="L14" s="71">
        <f t="shared" si="4"/>
        <v>44</v>
      </c>
      <c r="M14" s="71">
        <f t="shared" si="5"/>
        <v>73</v>
      </c>
    </row>
    <row r="15" ht="30.0" customHeight="1">
      <c r="A15" s="115" t="str">
        <f t="shared" ref="A15:B15" si="6">A8</f>
        <v>Ethan Goughenour</v>
      </c>
      <c r="B15" s="118" t="str">
        <f t="shared" si="6"/>
        <v>Old Mill</v>
      </c>
      <c r="C15" s="434">
        <v>3.0</v>
      </c>
      <c r="D15" s="434">
        <v>5.0</v>
      </c>
      <c r="E15" s="434">
        <v>7.0</v>
      </c>
      <c r="F15" s="434">
        <v>5.0</v>
      </c>
      <c r="G15" s="434">
        <v>6.0</v>
      </c>
      <c r="H15" s="434">
        <v>7.0</v>
      </c>
      <c r="I15" s="434">
        <v>11.0</v>
      </c>
      <c r="J15" s="431">
        <v>8.0</v>
      </c>
      <c r="K15" s="434">
        <v>6.0</v>
      </c>
      <c r="L15" s="71">
        <f t="shared" si="4"/>
        <v>58</v>
      </c>
      <c r="M15" s="71">
        <f t="shared" si="5"/>
        <v>99</v>
      </c>
    </row>
    <row r="16" ht="30.0" customHeight="1">
      <c r="A16" s="435" t="str">
        <f t="shared" ref="A16:B16" si="7">A9</f>
        <v>Brooks Bailey</v>
      </c>
      <c r="B16" s="118" t="str">
        <f t="shared" si="7"/>
        <v>South River</v>
      </c>
      <c r="C16" s="436">
        <v>5.0</v>
      </c>
      <c r="D16" s="436">
        <v>5.0</v>
      </c>
      <c r="E16" s="436">
        <v>5.0</v>
      </c>
      <c r="F16" s="436">
        <v>3.0</v>
      </c>
      <c r="G16" s="436">
        <v>6.0</v>
      </c>
      <c r="H16" s="434">
        <v>5.0</v>
      </c>
      <c r="I16" s="434">
        <v>6.0</v>
      </c>
      <c r="J16" s="431">
        <v>5.0</v>
      </c>
      <c r="K16" s="431">
        <v>4.0</v>
      </c>
      <c r="L16" s="71">
        <f t="shared" si="4"/>
        <v>44</v>
      </c>
      <c r="M16" s="71">
        <f t="shared" si="5"/>
        <v>73</v>
      </c>
    </row>
    <row r="17" ht="30.0" customHeight="1">
      <c r="A17" s="104"/>
      <c r="B17" s="106"/>
      <c r="C17" s="107"/>
      <c r="D17" s="329">
        <v>5.0</v>
      </c>
      <c r="E17" s="107"/>
      <c r="F17" s="107"/>
      <c r="G17" s="107"/>
      <c r="H17" s="107"/>
      <c r="I17" s="107"/>
      <c r="J17" s="107"/>
      <c r="K17" s="432"/>
      <c r="L17" s="430"/>
      <c r="M17" s="430"/>
    </row>
  </sheetData>
  <mergeCells count="1">
    <mergeCell ref="C1:F1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13"/>
    <col customWidth="1" min="2" max="2" width="18.88"/>
  </cols>
  <sheetData>
    <row r="1">
      <c r="A1" s="1" t="s">
        <v>0</v>
      </c>
      <c r="B1" s="2" t="s">
        <v>1</v>
      </c>
      <c r="C1" s="4" t="s">
        <v>190</v>
      </c>
      <c r="D1" s="7"/>
      <c r="E1" s="7"/>
      <c r="F1" s="10"/>
      <c r="G1" s="12"/>
      <c r="H1" s="12"/>
      <c r="I1" s="12"/>
      <c r="J1" s="12"/>
      <c r="K1" s="16"/>
      <c r="L1" s="427"/>
      <c r="M1" s="427"/>
    </row>
    <row r="2">
      <c r="A2" s="29" t="str">
        <f>PAIRINGS!F88</f>
        <v>Shay (AR)</v>
      </c>
      <c r="B2" s="34" t="str">
        <f>PAIRINGS!A88</f>
        <v>6B</v>
      </c>
      <c r="C2" s="16"/>
      <c r="D2" s="16"/>
      <c r="E2" s="12"/>
      <c r="F2" s="12"/>
      <c r="G2" s="16"/>
      <c r="H2" s="16"/>
      <c r="I2" s="16"/>
      <c r="J2" s="16"/>
      <c r="K2" s="16"/>
      <c r="L2" s="427"/>
      <c r="M2" s="427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427"/>
      <c r="M3" s="427"/>
    </row>
    <row r="4" ht="30.0" customHeight="1">
      <c r="A4" s="42" t="s">
        <v>24</v>
      </c>
      <c r="B4" s="1" t="s">
        <v>8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429" t="s">
        <v>25</v>
      </c>
      <c r="M4" s="427"/>
    </row>
    <row r="5" ht="30.0" customHeight="1">
      <c r="A5" s="50"/>
      <c r="B5" s="51"/>
      <c r="C5" s="53"/>
      <c r="D5" s="53"/>
      <c r="E5" s="53"/>
      <c r="F5" s="53"/>
      <c r="G5" s="53"/>
      <c r="H5" s="53"/>
      <c r="I5" s="53"/>
      <c r="J5" s="53"/>
      <c r="K5" s="53"/>
      <c r="L5" s="430"/>
      <c r="M5" s="427"/>
    </row>
    <row r="6" ht="30.0" customHeight="1">
      <c r="A6" s="57" t="str">
        <f>PAIRINGS!B88</f>
        <v>Devon Myers</v>
      </c>
      <c r="B6" s="224" t="str">
        <f>PAIRINGS!D88</f>
        <v>Glen Burnie</v>
      </c>
      <c r="C6" s="86"/>
      <c r="D6" s="86"/>
      <c r="E6" s="86"/>
      <c r="F6" s="86"/>
      <c r="G6" s="86"/>
      <c r="H6" s="86">
        <v>8.0</v>
      </c>
      <c r="I6" s="86">
        <v>9.0</v>
      </c>
      <c r="J6" s="86">
        <v>8.0</v>
      </c>
      <c r="K6" s="86">
        <v>4.0</v>
      </c>
      <c r="L6" s="71">
        <f t="shared" ref="L6:L9" si="1">SUM(C6:K6)</f>
        <v>29</v>
      </c>
      <c r="M6" s="427"/>
    </row>
    <row r="7" ht="30.0" customHeight="1">
      <c r="A7" s="78" t="str">
        <f>PAIRINGS!B89</f>
        <v>Alex Kapikian</v>
      </c>
      <c r="B7" s="237" t="str">
        <f>PAIRINGS!D89</f>
        <v>Broadneck</v>
      </c>
      <c r="C7" s="86"/>
      <c r="D7" s="86"/>
      <c r="E7" s="86"/>
      <c r="F7" s="86"/>
      <c r="G7" s="86"/>
      <c r="H7" s="86">
        <v>7.0</v>
      </c>
      <c r="I7" s="86">
        <v>6.0</v>
      </c>
      <c r="J7" s="431">
        <v>6.0</v>
      </c>
      <c r="K7" s="431">
        <v>5.0</v>
      </c>
      <c r="L7" s="71">
        <f t="shared" si="1"/>
        <v>24</v>
      </c>
      <c r="M7" s="427"/>
    </row>
    <row r="8" ht="30.0" customHeight="1">
      <c r="A8" s="78" t="str">
        <f>PAIRINGS!B90</f>
        <v/>
      </c>
      <c r="B8" s="237" t="str">
        <f>PAIRINGS!D90</f>
        <v/>
      </c>
      <c r="C8" s="86"/>
      <c r="D8" s="86"/>
      <c r="E8" s="86"/>
      <c r="F8" s="86"/>
      <c r="G8" s="86"/>
      <c r="H8" s="86"/>
      <c r="I8" s="86"/>
      <c r="J8" s="86"/>
      <c r="K8" s="431"/>
      <c r="L8" s="71">
        <f t="shared" si="1"/>
        <v>0</v>
      </c>
      <c r="M8" s="427"/>
    </row>
    <row r="9" ht="30.0" customHeight="1">
      <c r="A9" s="423" t="str">
        <f>PAIRINGS!B91</f>
        <v/>
      </c>
      <c r="B9" s="237" t="str">
        <f>PAIRINGS!D91</f>
        <v/>
      </c>
      <c r="C9" s="86"/>
      <c r="D9" s="86"/>
      <c r="E9" s="86"/>
      <c r="F9" s="86"/>
      <c r="G9" s="86"/>
      <c r="H9" s="86"/>
      <c r="I9" s="86"/>
      <c r="J9" s="431"/>
      <c r="K9" s="431"/>
      <c r="L9" s="71">
        <f t="shared" si="1"/>
        <v>0</v>
      </c>
      <c r="M9" s="427"/>
    </row>
    <row r="10" ht="30.0" customHeight="1">
      <c r="A10" s="104"/>
      <c r="B10" s="106"/>
      <c r="C10" s="107"/>
      <c r="D10" s="107"/>
      <c r="E10" s="107"/>
      <c r="F10" s="107"/>
      <c r="G10" s="107"/>
      <c r="H10" s="107"/>
      <c r="I10" s="107"/>
      <c r="J10" s="107"/>
      <c r="K10" s="432"/>
      <c r="L10" s="430"/>
      <c r="M10" s="427"/>
    </row>
    <row r="11" ht="30.0" customHeight="1">
      <c r="A11" s="1" t="s">
        <v>24</v>
      </c>
      <c r="B11" s="1" t="s">
        <v>8</v>
      </c>
      <c r="C11" s="1">
        <v>10.0</v>
      </c>
      <c r="D11" s="1">
        <v>11.0</v>
      </c>
      <c r="E11" s="1">
        <v>12.0</v>
      </c>
      <c r="F11" s="1">
        <v>13.0</v>
      </c>
      <c r="G11" s="1">
        <v>14.0</v>
      </c>
      <c r="H11" s="1">
        <v>15.0</v>
      </c>
      <c r="I11" s="1">
        <v>16.0</v>
      </c>
      <c r="J11" s="332">
        <v>17.0</v>
      </c>
      <c r="K11" s="1">
        <v>18.0</v>
      </c>
      <c r="L11" s="429" t="s">
        <v>21</v>
      </c>
      <c r="M11" s="429" t="s">
        <v>52</v>
      </c>
    </row>
    <row r="12" ht="30.0" customHeight="1">
      <c r="A12" s="113"/>
      <c r="B12" s="106"/>
      <c r="C12" s="107"/>
      <c r="D12" s="107"/>
      <c r="E12" s="107"/>
      <c r="F12" s="107"/>
      <c r="G12" s="107"/>
      <c r="H12" s="107"/>
      <c r="I12" s="107"/>
      <c r="J12" s="107"/>
      <c r="K12" s="432"/>
      <c r="L12" s="430"/>
      <c r="M12" s="430"/>
    </row>
    <row r="13" ht="30.0" customHeight="1">
      <c r="A13" s="98" t="str">
        <f t="shared" ref="A13:B13" si="2">A6</f>
        <v>Devon Myers</v>
      </c>
      <c r="B13" s="103" t="str">
        <f t="shared" si="2"/>
        <v>Glen Burnie</v>
      </c>
      <c r="C13" s="433">
        <v>6.0</v>
      </c>
      <c r="D13" s="433">
        <v>6.0</v>
      </c>
      <c r="E13" s="433">
        <v>7.0</v>
      </c>
      <c r="F13" s="433">
        <v>5.0</v>
      </c>
      <c r="G13" s="433">
        <v>9.0</v>
      </c>
      <c r="H13" s="434">
        <v>5.0</v>
      </c>
      <c r="I13" s="441">
        <v>8.0</v>
      </c>
      <c r="J13" s="434">
        <v>9.0</v>
      </c>
      <c r="K13" s="442">
        <v>8.0</v>
      </c>
      <c r="L13" s="71">
        <f t="shared" ref="L13:L16" si="4">SUM(C13:K13)</f>
        <v>63</v>
      </c>
      <c r="M13" s="71">
        <f t="shared" ref="M13:M16" si="5">SUM(L6 + L13)</f>
        <v>92</v>
      </c>
    </row>
    <row r="14" ht="30.0" customHeight="1">
      <c r="A14" s="115" t="str">
        <f t="shared" ref="A14:B14" si="3">A7</f>
        <v>Alex Kapikian</v>
      </c>
      <c r="B14" s="118" t="str">
        <f t="shared" si="3"/>
        <v>Broadneck</v>
      </c>
      <c r="C14" s="434">
        <v>5.0</v>
      </c>
      <c r="D14" s="434">
        <v>5.0</v>
      </c>
      <c r="E14" s="434">
        <v>6.0</v>
      </c>
      <c r="F14" s="434">
        <v>4.0</v>
      </c>
      <c r="G14" s="434">
        <v>4.0</v>
      </c>
      <c r="H14" s="434">
        <v>5.0</v>
      </c>
      <c r="I14" s="434">
        <v>5.0</v>
      </c>
      <c r="J14" s="431">
        <v>5.0</v>
      </c>
      <c r="K14" s="434">
        <v>4.0</v>
      </c>
      <c r="L14" s="71">
        <f t="shared" si="4"/>
        <v>43</v>
      </c>
      <c r="M14" s="71">
        <f t="shared" si="5"/>
        <v>67</v>
      </c>
    </row>
    <row r="15" ht="30.0" customHeight="1">
      <c r="A15" s="115" t="str">
        <f t="shared" ref="A15:B15" si="6">A8</f>
        <v/>
      </c>
      <c r="B15" s="118" t="str">
        <f t="shared" si="6"/>
        <v/>
      </c>
      <c r="C15" s="434"/>
      <c r="D15" s="434"/>
      <c r="E15" s="434"/>
      <c r="F15" s="434"/>
      <c r="G15" s="434"/>
      <c r="H15" s="434"/>
      <c r="I15" s="434"/>
      <c r="J15" s="431"/>
      <c r="K15" s="434"/>
      <c r="L15" s="71">
        <f t="shared" si="4"/>
        <v>0</v>
      </c>
      <c r="M15" s="71">
        <f t="shared" si="5"/>
        <v>0</v>
      </c>
    </row>
    <row r="16" ht="30.0" customHeight="1">
      <c r="A16" s="435" t="str">
        <f t="shared" ref="A16:B16" si="7">A9</f>
        <v/>
      </c>
      <c r="B16" s="118" t="str">
        <f t="shared" si="7"/>
        <v/>
      </c>
      <c r="C16" s="436"/>
      <c r="D16" s="436"/>
      <c r="E16" s="436"/>
      <c r="F16" s="436"/>
      <c r="G16" s="436"/>
      <c r="H16" s="434"/>
      <c r="I16" s="434"/>
      <c r="J16" s="431"/>
      <c r="K16" s="431"/>
      <c r="L16" s="71">
        <f t="shared" si="4"/>
        <v>0</v>
      </c>
      <c r="M16" s="71">
        <f t="shared" si="5"/>
        <v>0</v>
      </c>
    </row>
    <row r="17" ht="30.0" customHeight="1">
      <c r="A17" s="104"/>
      <c r="B17" s="106"/>
      <c r="C17" s="107"/>
      <c r="D17" s="107"/>
      <c r="E17" s="107"/>
      <c r="F17" s="107"/>
      <c r="G17" s="107"/>
      <c r="H17" s="107"/>
      <c r="I17" s="107"/>
      <c r="J17" s="107"/>
      <c r="K17" s="452"/>
      <c r="L17" s="430"/>
      <c r="M17" s="430"/>
    </row>
  </sheetData>
  <mergeCells count="1">
    <mergeCell ref="C1:F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0.13"/>
    <col customWidth="1" min="2" max="2" width="8.38"/>
    <col customWidth="1" min="3" max="3" width="25.75"/>
    <col customWidth="1" min="4" max="4" width="7.13"/>
    <col customWidth="1" min="5" max="5" width="9.38"/>
    <col customWidth="1" min="6" max="6" width="6.38"/>
    <col customWidth="1" min="7" max="7" width="37.63"/>
    <col customWidth="1" min="8" max="8" width="12.63"/>
    <col customWidth="1" min="9" max="9" width="5.88"/>
    <col customWidth="1" min="10" max="10" width="37.63"/>
    <col customWidth="1" min="11" max="11" width="12.63"/>
  </cols>
  <sheetData>
    <row r="1" ht="96.75" customHeight="1">
      <c r="A1" s="437" t="s">
        <v>191</v>
      </c>
      <c r="B1" s="438"/>
      <c r="C1" s="438"/>
      <c r="D1" s="438"/>
      <c r="E1" s="438"/>
      <c r="F1" s="439" t="s">
        <v>192</v>
      </c>
      <c r="G1" s="438"/>
      <c r="H1" s="440"/>
      <c r="I1" s="439" t="s">
        <v>192</v>
      </c>
      <c r="J1" s="438"/>
      <c r="K1" s="440"/>
    </row>
    <row r="2">
      <c r="A2" s="443" t="s">
        <v>6</v>
      </c>
      <c r="B2" s="443" t="s">
        <v>7</v>
      </c>
      <c r="C2" s="443" t="s">
        <v>8</v>
      </c>
      <c r="D2" s="443" t="s">
        <v>9</v>
      </c>
      <c r="E2" s="444" t="s">
        <v>193</v>
      </c>
      <c r="F2" s="445" t="s">
        <v>194</v>
      </c>
      <c r="G2" s="446" t="s">
        <v>195</v>
      </c>
      <c r="H2" s="447" t="s">
        <v>193</v>
      </c>
      <c r="I2" s="445" t="s">
        <v>194</v>
      </c>
      <c r="J2" s="446" t="s">
        <v>195</v>
      </c>
      <c r="K2" s="447" t="s">
        <v>193</v>
      </c>
    </row>
    <row r="3">
      <c r="A3" s="15" t="s">
        <v>10</v>
      </c>
      <c r="B3" s="17">
        <v>11.0</v>
      </c>
      <c r="C3" s="18" t="s">
        <v>12</v>
      </c>
      <c r="D3" s="20" t="s">
        <v>13</v>
      </c>
      <c r="E3" s="448">
        <f>'17B'!M16</f>
        <v>74</v>
      </c>
      <c r="F3" s="449"/>
      <c r="G3" s="450" t="str">
        <f>A33</f>
        <v>Ty Swann</v>
      </c>
      <c r="H3" s="451">
        <f>E33</f>
        <v>67</v>
      </c>
      <c r="I3" s="453"/>
      <c r="J3" s="454" t="str">
        <f>A22</f>
        <v>Caroline Viscardi</v>
      </c>
      <c r="K3" s="454">
        <f>E22</f>
        <v>79</v>
      </c>
    </row>
    <row r="4">
      <c r="A4" s="22" t="s">
        <v>14</v>
      </c>
      <c r="B4" s="23">
        <v>11.0</v>
      </c>
      <c r="C4" s="25" t="s">
        <v>12</v>
      </c>
      <c r="D4" s="27" t="s">
        <v>13</v>
      </c>
      <c r="E4" s="455">
        <f>'16B'!M13</f>
        <v>85</v>
      </c>
      <c r="F4" s="449"/>
      <c r="G4" s="450" t="str">
        <f>A61</f>
        <v>Davis Balderston</v>
      </c>
      <c r="H4" s="451">
        <f>E61</f>
        <v>63</v>
      </c>
      <c r="I4" s="453"/>
      <c r="J4" s="454" t="str">
        <f>A69</f>
        <v>Sarah Valencia </v>
      </c>
      <c r="K4" s="454">
        <f>E69</f>
        <v>78</v>
      </c>
    </row>
    <row r="5">
      <c r="A5" s="22" t="s">
        <v>15</v>
      </c>
      <c r="B5" s="23">
        <v>12.0</v>
      </c>
      <c r="C5" s="25" t="s">
        <v>12</v>
      </c>
      <c r="D5" s="27" t="s">
        <v>13</v>
      </c>
      <c r="E5" s="455">
        <f>'14B'!M13</f>
        <v>79</v>
      </c>
      <c r="F5" s="449"/>
      <c r="G5" s="450" t="str">
        <f>A16</f>
        <v>James Jonker</v>
      </c>
      <c r="H5" s="451">
        <f>E16</f>
        <v>64</v>
      </c>
      <c r="I5" s="453"/>
      <c r="J5" s="454" t="str">
        <f>A42</f>
        <v>Emily Huus</v>
      </c>
      <c r="K5" s="454">
        <f>E42</f>
        <v>68</v>
      </c>
    </row>
    <row r="6">
      <c r="A6" s="22" t="s">
        <v>16</v>
      </c>
      <c r="B6" s="23">
        <v>12.0</v>
      </c>
      <c r="C6" s="25" t="s">
        <v>12</v>
      </c>
      <c r="D6" s="27" t="s">
        <v>13</v>
      </c>
      <c r="E6" s="455">
        <f>'7A'!M13</f>
        <v>128</v>
      </c>
      <c r="F6" s="449"/>
      <c r="G6" s="450" t="str">
        <f t="shared" ref="G6:G7" si="1">A27</f>
        <v>Alan Higgins</v>
      </c>
      <c r="H6" s="451">
        <f t="shared" ref="H6:H7" si="2">E27</f>
        <v>73</v>
      </c>
      <c r="I6" s="453"/>
      <c r="J6" s="454" t="str">
        <f>A14</f>
        <v>Ava Shay</v>
      </c>
      <c r="K6" s="454">
        <f>E14</f>
        <v>93</v>
      </c>
    </row>
    <row r="7">
      <c r="A7" s="22" t="s">
        <v>17</v>
      </c>
      <c r="B7" s="23">
        <v>12.0</v>
      </c>
      <c r="C7" s="25" t="s">
        <v>12</v>
      </c>
      <c r="D7" s="27" t="s">
        <v>13</v>
      </c>
      <c r="E7" s="455"/>
      <c r="F7" s="449"/>
      <c r="G7" s="450" t="str">
        <f t="shared" si="1"/>
        <v>Nathan Reil</v>
      </c>
      <c r="H7" s="451">
        <f t="shared" si="2"/>
        <v>66</v>
      </c>
      <c r="I7" s="453"/>
      <c r="J7" s="454" t="str">
        <f>A23</f>
        <v>Natalie Coe</v>
      </c>
      <c r="K7" s="454">
        <f>E23</f>
        <v>99</v>
      </c>
    </row>
    <row r="8">
      <c r="A8" s="22" t="s">
        <v>18</v>
      </c>
      <c r="B8" s="23">
        <v>9.0</v>
      </c>
      <c r="C8" s="31" t="s">
        <v>12</v>
      </c>
      <c r="D8" s="33" t="s">
        <v>19</v>
      </c>
      <c r="E8" s="455">
        <f>'9A'!M14</f>
        <v>93</v>
      </c>
      <c r="F8" s="456"/>
      <c r="G8" s="450" t="str">
        <f>A20</f>
        <v>Alex Kapikian</v>
      </c>
      <c r="H8" s="451">
        <f>E20</f>
        <v>67</v>
      </c>
      <c r="I8" s="453"/>
      <c r="J8" s="454" t="str">
        <f>A25</f>
        <v>Claire Pierpoint</v>
      </c>
      <c r="K8" s="454">
        <f>E25</f>
        <v>66</v>
      </c>
    </row>
    <row r="9">
      <c r="A9" s="35" t="s">
        <v>20</v>
      </c>
      <c r="B9" s="36">
        <v>12.0</v>
      </c>
      <c r="C9" s="38" t="s">
        <v>22</v>
      </c>
      <c r="D9" s="39" t="s">
        <v>13</v>
      </c>
      <c r="E9" s="455">
        <f>'18B'!M14</f>
        <v>76</v>
      </c>
      <c r="F9" s="456"/>
      <c r="G9" s="450" t="str">
        <f>A77</f>
        <v>Ewan Ivey</v>
      </c>
      <c r="H9" s="451">
        <f>E77</f>
        <v>66</v>
      </c>
      <c r="I9" s="453"/>
      <c r="J9" s="454" t="str">
        <f>A39</f>
        <v>Marissa Liverpool</v>
      </c>
      <c r="K9" s="454">
        <f>E39</f>
        <v>96</v>
      </c>
    </row>
    <row r="10">
      <c r="A10" s="40" t="s">
        <v>23</v>
      </c>
      <c r="B10" s="41">
        <v>11.0</v>
      </c>
      <c r="C10" s="43" t="s">
        <v>22</v>
      </c>
      <c r="D10" s="44" t="s">
        <v>13</v>
      </c>
      <c r="E10" s="455">
        <f>'15A'!M15</f>
        <v>0</v>
      </c>
      <c r="F10" s="456"/>
      <c r="G10" s="457" t="str">
        <f>A62</f>
        <v>Chase Connell</v>
      </c>
      <c r="H10" s="451">
        <f>E62</f>
        <v>60</v>
      </c>
      <c r="I10" s="453"/>
      <c r="J10" s="454" t="str">
        <f>A75</f>
        <v>Elizabeth Schlossberg </v>
      </c>
      <c r="K10" s="454">
        <f>E75</f>
        <v>70</v>
      </c>
    </row>
    <row r="11">
      <c r="A11" s="40" t="s">
        <v>28</v>
      </c>
      <c r="B11" s="41">
        <v>11.0</v>
      </c>
      <c r="C11" s="43" t="s">
        <v>22</v>
      </c>
      <c r="D11" s="44" t="s">
        <v>13</v>
      </c>
      <c r="E11" s="455">
        <f>'15B'!M15</f>
        <v>117</v>
      </c>
      <c r="F11" s="456"/>
      <c r="G11" s="457" t="str">
        <f>A36</f>
        <v>Charlie Ward</v>
      </c>
      <c r="H11" s="451">
        <f>E36</f>
        <v>69</v>
      </c>
      <c r="I11" s="453"/>
      <c r="J11" s="454" t="str">
        <f>A74</f>
        <v>Audrey Nicely </v>
      </c>
      <c r="K11" s="454">
        <f>E74</f>
        <v>90</v>
      </c>
    </row>
    <row r="12">
      <c r="A12" s="40" t="s">
        <v>29</v>
      </c>
      <c r="B12" s="41">
        <v>12.0</v>
      </c>
      <c r="C12" s="43" t="s">
        <v>22</v>
      </c>
      <c r="D12" s="44" t="s">
        <v>13</v>
      </c>
      <c r="E12" s="455">
        <f>'14A'!M15</f>
        <v>81</v>
      </c>
      <c r="F12" s="456"/>
      <c r="G12" s="458" t="str">
        <f>A34</f>
        <v>Ben Cunningham</v>
      </c>
      <c r="H12" s="459">
        <f>E34</f>
        <v>73</v>
      </c>
      <c r="I12" s="460"/>
      <c r="J12" s="458"/>
      <c r="K12" s="458"/>
    </row>
    <row r="13">
      <c r="A13" s="40" t="s">
        <v>31</v>
      </c>
      <c r="B13" s="41">
        <v>11.0</v>
      </c>
      <c r="C13" s="43" t="s">
        <v>22</v>
      </c>
      <c r="D13" s="44" t="s">
        <v>13</v>
      </c>
      <c r="E13" s="455">
        <f>'14B'!M16</f>
        <v>86</v>
      </c>
      <c r="F13" s="461" t="s">
        <v>196</v>
      </c>
      <c r="H13" s="462"/>
      <c r="I13" s="463"/>
      <c r="J13" s="463"/>
      <c r="K13" s="463"/>
    </row>
    <row r="14">
      <c r="A14" s="47" t="s">
        <v>32</v>
      </c>
      <c r="B14" s="60">
        <v>12.0</v>
      </c>
      <c r="C14" s="63" t="s">
        <v>22</v>
      </c>
      <c r="D14" s="64" t="s">
        <v>19</v>
      </c>
      <c r="E14" s="455">
        <f>'10A'!M15</f>
        <v>93</v>
      </c>
      <c r="F14" s="464"/>
      <c r="H14" s="462"/>
      <c r="I14" s="463"/>
      <c r="J14" s="463"/>
      <c r="K14" s="463"/>
    </row>
    <row r="15">
      <c r="A15" s="66" t="s">
        <v>35</v>
      </c>
      <c r="B15" s="69">
        <v>12.0</v>
      </c>
      <c r="C15" s="73" t="s">
        <v>22</v>
      </c>
      <c r="D15" s="66" t="s">
        <v>19</v>
      </c>
      <c r="E15" s="455">
        <f>'10B'!M14</f>
        <v>108</v>
      </c>
      <c r="F15" s="465"/>
      <c r="G15" s="466"/>
      <c r="H15" s="467"/>
      <c r="I15" s="463"/>
      <c r="J15" s="463"/>
      <c r="K15" s="463"/>
    </row>
    <row r="16">
      <c r="A16" s="75" t="s">
        <v>38</v>
      </c>
      <c r="B16" s="79">
        <v>12.0</v>
      </c>
      <c r="C16" s="80" t="s">
        <v>39</v>
      </c>
      <c r="D16" s="81" t="s">
        <v>13</v>
      </c>
      <c r="E16" s="455">
        <f>'1A'!M15</f>
        <v>64</v>
      </c>
      <c r="F16" s="449">
        <v>1.0</v>
      </c>
      <c r="G16" s="468"/>
      <c r="H16" s="469"/>
      <c r="I16" s="470"/>
      <c r="J16" s="470"/>
      <c r="K16" s="470"/>
    </row>
    <row r="17">
      <c r="A17" s="84" t="s">
        <v>40</v>
      </c>
      <c r="B17" s="87">
        <v>11.0</v>
      </c>
      <c r="C17" s="89" t="s">
        <v>39</v>
      </c>
      <c r="D17" s="81" t="s">
        <v>13</v>
      </c>
      <c r="E17" s="455">
        <f>'1B'!M15</f>
        <v>68</v>
      </c>
      <c r="F17" s="471">
        <v>2.0</v>
      </c>
      <c r="G17" s="468"/>
      <c r="H17" s="469"/>
      <c r="I17" s="472"/>
      <c r="J17" s="472"/>
      <c r="K17" s="472"/>
    </row>
    <row r="18">
      <c r="A18" s="84" t="s">
        <v>41</v>
      </c>
      <c r="B18" s="87">
        <v>10.0</v>
      </c>
      <c r="C18" s="89" t="s">
        <v>39</v>
      </c>
      <c r="D18" s="81" t="s">
        <v>13</v>
      </c>
      <c r="E18" s="455">
        <f>'18A'!M13</f>
        <v>71</v>
      </c>
      <c r="F18" s="471">
        <v>3.0</v>
      </c>
      <c r="G18" s="468"/>
      <c r="H18" s="469"/>
      <c r="I18" s="472"/>
      <c r="J18" s="472"/>
      <c r="K18" s="472"/>
    </row>
    <row r="19">
      <c r="A19" s="84" t="s">
        <v>42</v>
      </c>
      <c r="B19" s="87">
        <v>12.0</v>
      </c>
      <c r="C19" s="89" t="s">
        <v>39</v>
      </c>
      <c r="D19" s="81" t="s">
        <v>13</v>
      </c>
      <c r="E19" s="455">
        <f>'18B'!M13</f>
        <v>76</v>
      </c>
      <c r="F19" s="471">
        <v>4.0</v>
      </c>
      <c r="G19" s="468"/>
      <c r="H19" s="469"/>
      <c r="I19" s="472"/>
      <c r="J19" s="472"/>
      <c r="K19" s="472"/>
    </row>
    <row r="20">
      <c r="A20" s="84" t="s">
        <v>43</v>
      </c>
      <c r="B20" s="87">
        <v>11.0</v>
      </c>
      <c r="C20" s="89" t="s">
        <v>39</v>
      </c>
      <c r="D20" s="81" t="s">
        <v>13</v>
      </c>
      <c r="E20" s="455">
        <f>'6B'!M14</f>
        <v>67</v>
      </c>
      <c r="F20" s="449">
        <v>5.0</v>
      </c>
      <c r="G20" s="468"/>
      <c r="H20" s="469"/>
      <c r="I20" s="472"/>
      <c r="J20" s="472"/>
      <c r="K20" s="472"/>
    </row>
    <row r="21">
      <c r="A21" s="90" t="s">
        <v>44</v>
      </c>
      <c r="B21" s="92">
        <v>10.0</v>
      </c>
      <c r="C21" s="94" t="s">
        <v>39</v>
      </c>
      <c r="D21" s="81" t="s">
        <v>13</v>
      </c>
      <c r="E21" s="455">
        <f>'6A'!M14</f>
        <v>73</v>
      </c>
      <c r="F21" s="449">
        <v>6.0</v>
      </c>
      <c r="G21" s="468"/>
      <c r="H21" s="469"/>
      <c r="I21" s="472"/>
      <c r="J21" s="472"/>
      <c r="K21" s="472"/>
    </row>
    <row r="22">
      <c r="A22" s="105" t="s">
        <v>46</v>
      </c>
      <c r="B22" s="105">
        <v>12.0</v>
      </c>
      <c r="C22" s="109" t="s">
        <v>39</v>
      </c>
      <c r="D22" s="105" t="s">
        <v>19</v>
      </c>
      <c r="E22" s="455">
        <f>'10A'!M13</f>
        <v>79</v>
      </c>
      <c r="F22" s="449">
        <v>7.0</v>
      </c>
      <c r="G22" s="468"/>
      <c r="H22" s="469"/>
      <c r="I22" s="472"/>
      <c r="J22" s="472"/>
      <c r="K22" s="472"/>
    </row>
    <row r="23">
      <c r="A23" s="105" t="s">
        <v>49</v>
      </c>
      <c r="B23" s="105">
        <v>11.0</v>
      </c>
      <c r="C23" s="109" t="s">
        <v>39</v>
      </c>
      <c r="D23" s="105" t="s">
        <v>19</v>
      </c>
      <c r="E23" s="455">
        <f>'9B'!M13</f>
        <v>99</v>
      </c>
      <c r="F23" s="449">
        <v>8.0</v>
      </c>
      <c r="G23" s="468"/>
      <c r="H23" s="469"/>
      <c r="I23" s="472"/>
      <c r="J23" s="472"/>
      <c r="K23" s="472"/>
    </row>
    <row r="24">
      <c r="A24" s="111" t="s">
        <v>51</v>
      </c>
      <c r="B24" s="105">
        <v>11.0</v>
      </c>
      <c r="C24" s="109" t="s">
        <v>39</v>
      </c>
      <c r="D24" s="114" t="s">
        <v>19</v>
      </c>
      <c r="E24" s="455">
        <f>'9A'!M13</f>
        <v>110</v>
      </c>
      <c r="F24" s="449">
        <v>9.0</v>
      </c>
      <c r="G24" s="468"/>
      <c r="H24" s="469"/>
      <c r="I24" s="472"/>
      <c r="J24" s="472"/>
      <c r="K24" s="472"/>
    </row>
    <row r="25">
      <c r="A25" s="111" t="s">
        <v>55</v>
      </c>
      <c r="B25" s="105">
        <v>9.0</v>
      </c>
      <c r="C25" s="109" t="s">
        <v>39</v>
      </c>
      <c r="D25" s="114" t="s">
        <v>19</v>
      </c>
      <c r="E25" s="455">
        <f>'8A'!M13</f>
        <v>66</v>
      </c>
      <c r="F25" s="473">
        <v>10.0</v>
      </c>
      <c r="G25" s="468"/>
      <c r="H25" s="469"/>
      <c r="I25" s="472"/>
      <c r="J25" s="472"/>
      <c r="K25" s="472"/>
    </row>
    <row r="26">
      <c r="A26" s="117" t="s">
        <v>45</v>
      </c>
      <c r="B26" s="119">
        <v>12.0</v>
      </c>
      <c r="C26" s="120" t="s">
        <v>47</v>
      </c>
      <c r="D26" s="121" t="s">
        <v>13</v>
      </c>
      <c r="E26" s="455">
        <f>'1A'!M16</f>
        <v>71</v>
      </c>
      <c r="F26" s="474"/>
      <c r="G26" s="468"/>
      <c r="H26" s="469"/>
      <c r="I26" s="472"/>
      <c r="J26" s="472"/>
      <c r="K26" s="472"/>
    </row>
    <row r="27">
      <c r="A27" s="122" t="s">
        <v>57</v>
      </c>
      <c r="B27" s="123">
        <v>12.0</v>
      </c>
      <c r="C27" s="124" t="s">
        <v>47</v>
      </c>
      <c r="D27" s="125" t="s">
        <v>13</v>
      </c>
      <c r="E27" s="455">
        <f>'1B'!M16</f>
        <v>73</v>
      </c>
      <c r="F27" s="475" t="s">
        <v>197</v>
      </c>
      <c r="H27" s="462"/>
      <c r="I27" s="476"/>
      <c r="J27" s="476"/>
      <c r="K27" s="476"/>
    </row>
    <row r="28">
      <c r="A28" s="122" t="s">
        <v>58</v>
      </c>
      <c r="B28" s="123">
        <v>12.0</v>
      </c>
      <c r="C28" s="124" t="s">
        <v>47</v>
      </c>
      <c r="D28" s="125" t="s">
        <v>13</v>
      </c>
      <c r="E28" s="455">
        <f>'16B'!M15</f>
        <v>66</v>
      </c>
      <c r="F28" s="464"/>
      <c r="H28" s="462"/>
      <c r="I28" s="476"/>
      <c r="J28" s="476"/>
      <c r="K28" s="476"/>
    </row>
    <row r="29">
      <c r="A29" s="122" t="s">
        <v>59</v>
      </c>
      <c r="B29" s="123">
        <v>10.0</v>
      </c>
      <c r="C29" s="124" t="s">
        <v>47</v>
      </c>
      <c r="D29" s="125" t="s">
        <v>13</v>
      </c>
      <c r="E29" s="455">
        <f>'17A'!M14</f>
        <v>75</v>
      </c>
      <c r="F29" s="465"/>
      <c r="G29" s="466"/>
      <c r="H29" s="467"/>
      <c r="I29" s="476"/>
      <c r="J29" s="476"/>
      <c r="K29" s="476"/>
    </row>
    <row r="30">
      <c r="A30" s="122" t="s">
        <v>60</v>
      </c>
      <c r="B30" s="123">
        <v>12.0</v>
      </c>
      <c r="C30" s="124" t="s">
        <v>47</v>
      </c>
      <c r="D30" s="125" t="s">
        <v>13</v>
      </c>
      <c r="E30" s="455">
        <f>'18B'!M16</f>
        <v>76</v>
      </c>
      <c r="F30" s="445" t="s">
        <v>194</v>
      </c>
      <c r="G30" s="446" t="s">
        <v>198</v>
      </c>
      <c r="H30" s="447" t="s">
        <v>193</v>
      </c>
      <c r="I30" s="477"/>
      <c r="J30" s="477"/>
      <c r="K30" s="477"/>
    </row>
    <row r="31">
      <c r="A31" s="126" t="s">
        <v>61</v>
      </c>
      <c r="B31" s="128">
        <v>12.0</v>
      </c>
      <c r="C31" s="129" t="s">
        <v>47</v>
      </c>
      <c r="D31" s="131" t="s">
        <v>13</v>
      </c>
      <c r="E31" s="455">
        <f>'15A'!M14</f>
        <v>0</v>
      </c>
      <c r="F31" s="449">
        <v>1.0</v>
      </c>
      <c r="G31" s="454"/>
      <c r="H31" s="478"/>
      <c r="I31" s="479"/>
      <c r="J31" s="479"/>
      <c r="K31" s="479"/>
    </row>
    <row r="32">
      <c r="A32" s="132" t="s">
        <v>62</v>
      </c>
      <c r="B32" s="132">
        <v>11.0</v>
      </c>
      <c r="C32" s="133" t="s">
        <v>47</v>
      </c>
      <c r="D32" s="132" t="s">
        <v>19</v>
      </c>
      <c r="E32" s="455">
        <f>'9B'!M15</f>
        <v>106</v>
      </c>
      <c r="F32" s="471">
        <v>2.0</v>
      </c>
      <c r="G32" s="480"/>
      <c r="H32" s="478"/>
      <c r="I32" s="479"/>
      <c r="J32" s="479"/>
      <c r="K32" s="479"/>
    </row>
    <row r="33">
      <c r="A33" s="134" t="s">
        <v>30</v>
      </c>
      <c r="B33" s="135">
        <v>11.0</v>
      </c>
      <c r="C33" s="137" t="s">
        <v>33</v>
      </c>
      <c r="D33" s="138" t="s">
        <v>13</v>
      </c>
      <c r="E33" s="455">
        <f>'1A'!M13</f>
        <v>67</v>
      </c>
      <c r="F33" s="471">
        <v>3.0</v>
      </c>
      <c r="G33" s="481"/>
      <c r="H33" s="478"/>
      <c r="I33" s="479"/>
      <c r="J33" s="479"/>
      <c r="K33" s="479"/>
    </row>
    <row r="34">
      <c r="A34" s="140" t="s">
        <v>64</v>
      </c>
      <c r="B34" s="141">
        <v>12.0</v>
      </c>
      <c r="C34" s="145" t="s">
        <v>33</v>
      </c>
      <c r="D34" s="147" t="s">
        <v>13</v>
      </c>
      <c r="E34" s="455">
        <f>'17A'!M15</f>
        <v>73</v>
      </c>
      <c r="F34" s="471">
        <v>4.0</v>
      </c>
      <c r="G34" s="482"/>
      <c r="H34" s="478"/>
      <c r="I34" s="479"/>
      <c r="J34" s="479"/>
      <c r="K34" s="479"/>
    </row>
    <row r="35">
      <c r="A35" s="140" t="s">
        <v>66</v>
      </c>
      <c r="B35" s="141">
        <v>12.0</v>
      </c>
      <c r="C35" s="145" t="s">
        <v>33</v>
      </c>
      <c r="D35" s="147" t="s">
        <v>13</v>
      </c>
      <c r="E35" s="483">
        <f>'16A'!M14</f>
        <v>74</v>
      </c>
      <c r="F35" s="449">
        <v>5.0</v>
      </c>
      <c r="G35" s="480"/>
      <c r="H35" s="478"/>
      <c r="I35" s="479"/>
      <c r="J35" s="479"/>
      <c r="K35" s="479"/>
    </row>
    <row r="36">
      <c r="A36" s="140" t="s">
        <v>67</v>
      </c>
      <c r="B36" s="141">
        <v>9.0</v>
      </c>
      <c r="C36" s="145" t="s">
        <v>33</v>
      </c>
      <c r="D36" s="147" t="s">
        <v>13</v>
      </c>
      <c r="E36" s="483">
        <f>'16B'!M14</f>
        <v>69</v>
      </c>
      <c r="F36" s="449">
        <v>6.0</v>
      </c>
      <c r="G36" s="484"/>
      <c r="H36" s="478"/>
      <c r="I36" s="485"/>
      <c r="J36" s="485"/>
      <c r="K36" s="485"/>
    </row>
    <row r="37">
      <c r="A37" s="140" t="s">
        <v>68</v>
      </c>
      <c r="B37" s="141">
        <v>12.0</v>
      </c>
      <c r="C37" s="145" t="s">
        <v>33</v>
      </c>
      <c r="D37" s="147" t="s">
        <v>13</v>
      </c>
      <c r="E37" s="483">
        <f>'17B'!M14</f>
        <v>75</v>
      </c>
      <c r="F37" s="449">
        <v>7.0</v>
      </c>
      <c r="G37" s="484"/>
      <c r="H37" s="478"/>
      <c r="I37" s="485"/>
      <c r="J37" s="485"/>
      <c r="K37" s="485"/>
    </row>
    <row r="38">
      <c r="A38" s="152" t="s">
        <v>70</v>
      </c>
      <c r="B38" s="154">
        <v>12.0</v>
      </c>
      <c r="C38" s="155" t="s">
        <v>33</v>
      </c>
      <c r="D38" s="156" t="s">
        <v>13</v>
      </c>
      <c r="E38" s="483">
        <f>'15A'!M13</f>
        <v>0</v>
      </c>
      <c r="F38" s="449">
        <v>8.0</v>
      </c>
      <c r="G38" s="484"/>
      <c r="H38" s="478"/>
      <c r="I38" s="485"/>
      <c r="J38" s="485"/>
      <c r="K38" s="485"/>
    </row>
    <row r="39">
      <c r="A39" s="158" t="s">
        <v>72</v>
      </c>
      <c r="B39" s="158">
        <v>11.0</v>
      </c>
      <c r="C39" s="159" t="s">
        <v>33</v>
      </c>
      <c r="D39" s="158" t="s">
        <v>19</v>
      </c>
      <c r="E39" s="483">
        <f>'10A'!M16</f>
        <v>96</v>
      </c>
      <c r="F39" s="449">
        <v>9.0</v>
      </c>
      <c r="G39" s="484"/>
      <c r="H39" s="478"/>
      <c r="I39" s="485"/>
      <c r="J39" s="485"/>
      <c r="K39" s="485"/>
    </row>
    <row r="40">
      <c r="A40" s="141" t="s">
        <v>73</v>
      </c>
      <c r="B40" s="141">
        <v>10.0</v>
      </c>
      <c r="C40" s="145" t="s">
        <v>33</v>
      </c>
      <c r="D40" s="141" t="s">
        <v>19</v>
      </c>
      <c r="E40" s="483">
        <f>'10B'!M15</f>
        <v>107</v>
      </c>
      <c r="F40" s="473">
        <v>10.0</v>
      </c>
      <c r="G40" s="352"/>
      <c r="H40" s="486"/>
      <c r="I40" s="485"/>
      <c r="J40" s="485"/>
      <c r="K40" s="485"/>
    </row>
    <row r="41">
      <c r="A41" s="141" t="s">
        <v>75</v>
      </c>
      <c r="B41" s="141">
        <v>9.0</v>
      </c>
      <c r="C41" s="145" t="s">
        <v>33</v>
      </c>
      <c r="D41" s="141" t="s">
        <v>19</v>
      </c>
      <c r="E41" s="483">
        <f>'9A'!M16</f>
        <v>106</v>
      </c>
      <c r="F41" s="487" t="s">
        <v>199</v>
      </c>
      <c r="G41" s="438"/>
      <c r="H41" s="440"/>
      <c r="I41" s="488"/>
      <c r="J41" s="488"/>
      <c r="K41" s="488"/>
    </row>
    <row r="42">
      <c r="A42" s="164" t="s">
        <v>76</v>
      </c>
      <c r="B42" s="158">
        <v>12.0</v>
      </c>
      <c r="C42" s="145" t="s">
        <v>33</v>
      </c>
      <c r="D42" s="141" t="s">
        <v>19</v>
      </c>
      <c r="E42" s="483">
        <f>'8A'!M14</f>
        <v>68</v>
      </c>
      <c r="F42" s="464"/>
      <c r="H42" s="462"/>
      <c r="I42" s="488"/>
      <c r="J42" s="488"/>
      <c r="K42" s="488"/>
    </row>
    <row r="43">
      <c r="A43" s="165" t="s">
        <v>77</v>
      </c>
      <c r="B43" s="167">
        <v>10.0</v>
      </c>
      <c r="C43" s="169" t="s">
        <v>79</v>
      </c>
      <c r="D43" s="171" t="s">
        <v>13</v>
      </c>
      <c r="E43" s="483">
        <f>'15B'!M14</f>
        <v>82</v>
      </c>
      <c r="F43" s="465"/>
      <c r="G43" s="466"/>
      <c r="H43" s="467"/>
      <c r="I43" s="488"/>
      <c r="J43" s="488"/>
      <c r="K43" s="488"/>
    </row>
    <row r="44">
      <c r="A44" s="173" t="s">
        <v>80</v>
      </c>
      <c r="B44" s="174">
        <v>11.0</v>
      </c>
      <c r="C44" s="176" t="s">
        <v>79</v>
      </c>
      <c r="D44" s="177" t="s">
        <v>13</v>
      </c>
      <c r="E44" s="483">
        <f>'7B'!M14</f>
        <v>85</v>
      </c>
      <c r="F44" s="489" t="s">
        <v>194</v>
      </c>
      <c r="G44" s="490" t="s">
        <v>198</v>
      </c>
      <c r="H44" s="491" t="s">
        <v>193</v>
      </c>
      <c r="I44" s="488"/>
      <c r="J44" s="488"/>
      <c r="K44" s="488"/>
    </row>
    <row r="45">
      <c r="A45" s="179" t="s">
        <v>81</v>
      </c>
      <c r="B45" s="181">
        <v>9.0</v>
      </c>
      <c r="C45" s="182" t="s">
        <v>83</v>
      </c>
      <c r="D45" s="183" t="s">
        <v>13</v>
      </c>
      <c r="E45" s="483">
        <f>'6B'!M13</f>
        <v>92</v>
      </c>
      <c r="F45" s="449">
        <v>1.0</v>
      </c>
      <c r="G45" s="454"/>
      <c r="H45" s="492"/>
      <c r="I45" s="488"/>
      <c r="J45" s="488"/>
      <c r="K45" s="488"/>
    </row>
    <row r="46">
      <c r="A46" s="184" t="s">
        <v>85</v>
      </c>
      <c r="B46" s="185">
        <v>12.0</v>
      </c>
      <c r="C46" s="186" t="s">
        <v>86</v>
      </c>
      <c r="D46" s="187" t="s">
        <v>13</v>
      </c>
      <c r="E46" s="483">
        <f>'14B'!M14</f>
        <v>72</v>
      </c>
      <c r="F46" s="449">
        <v>2.0</v>
      </c>
      <c r="G46" s="454"/>
      <c r="H46" s="492"/>
      <c r="I46" s="488"/>
      <c r="J46" s="488"/>
      <c r="K46" s="488"/>
    </row>
    <row r="47">
      <c r="A47" s="189" t="s">
        <v>87</v>
      </c>
      <c r="B47" s="191">
        <v>10.0</v>
      </c>
      <c r="C47" s="192" t="s">
        <v>86</v>
      </c>
      <c r="D47" s="193" t="s">
        <v>13</v>
      </c>
      <c r="E47" s="483">
        <f>'15A'!M16</f>
        <v>0</v>
      </c>
      <c r="F47" s="449">
        <v>3.0</v>
      </c>
      <c r="G47" s="454"/>
      <c r="H47" s="492"/>
      <c r="I47" s="488"/>
      <c r="J47" s="488"/>
      <c r="K47" s="488"/>
    </row>
    <row r="48">
      <c r="A48" s="189" t="s">
        <v>90</v>
      </c>
      <c r="B48" s="191">
        <v>9.0</v>
      </c>
      <c r="C48" s="192" t="s">
        <v>86</v>
      </c>
      <c r="D48" s="193" t="s">
        <v>13</v>
      </c>
      <c r="E48" s="483">
        <f>'15B'!M16</f>
        <v>105</v>
      </c>
      <c r="F48" s="449">
        <v>4.0</v>
      </c>
      <c r="G48" s="454"/>
      <c r="H48" s="492"/>
      <c r="I48" s="488"/>
      <c r="J48" s="488"/>
      <c r="K48" s="488"/>
    </row>
    <row r="49">
      <c r="A49" s="189" t="s">
        <v>91</v>
      </c>
      <c r="B49" s="191">
        <v>10.0</v>
      </c>
      <c r="C49" s="192" t="s">
        <v>86</v>
      </c>
      <c r="D49" s="193" t="s">
        <v>13</v>
      </c>
      <c r="E49" s="483">
        <f>'7A'!M14</f>
        <v>87</v>
      </c>
      <c r="F49" s="493">
        <v>5.0</v>
      </c>
      <c r="G49" s="454"/>
      <c r="H49" s="494"/>
      <c r="I49" s="488"/>
      <c r="J49" s="488"/>
      <c r="K49" s="488"/>
    </row>
    <row r="50">
      <c r="A50" s="189" t="s">
        <v>92</v>
      </c>
      <c r="B50" s="191">
        <v>12.0</v>
      </c>
      <c r="C50" s="192" t="s">
        <v>86</v>
      </c>
      <c r="D50" s="193" t="s">
        <v>13</v>
      </c>
      <c r="E50" s="483">
        <f>'7B'!M13</f>
        <v>88</v>
      </c>
      <c r="F50" s="488"/>
      <c r="G50" s="488"/>
      <c r="H50" s="488"/>
      <c r="I50" s="488"/>
      <c r="J50" s="488"/>
      <c r="K50" s="488"/>
    </row>
    <row r="51">
      <c r="A51" s="194" t="s">
        <v>93</v>
      </c>
      <c r="B51" s="195">
        <v>12.0</v>
      </c>
      <c r="C51" s="196" t="s">
        <v>86</v>
      </c>
      <c r="D51" s="197" t="s">
        <v>13</v>
      </c>
      <c r="E51" s="483">
        <f>'6A'!M13</f>
        <v>87</v>
      </c>
      <c r="F51" s="488"/>
      <c r="G51" s="488"/>
      <c r="H51" s="488"/>
      <c r="I51" s="488"/>
      <c r="J51" s="488"/>
      <c r="K51" s="488"/>
    </row>
    <row r="52">
      <c r="A52" s="198" t="s">
        <v>95</v>
      </c>
      <c r="B52" s="200">
        <v>11.0</v>
      </c>
      <c r="C52" s="201" t="s">
        <v>97</v>
      </c>
      <c r="D52" s="202" t="s">
        <v>13</v>
      </c>
      <c r="E52" s="483">
        <f>'14A'!M13</f>
        <v>67</v>
      </c>
      <c r="F52" s="488"/>
      <c r="G52" s="488"/>
      <c r="H52" s="488"/>
      <c r="I52" s="488"/>
      <c r="J52" s="488"/>
      <c r="K52" s="488"/>
    </row>
    <row r="53">
      <c r="A53" s="203" t="s">
        <v>99</v>
      </c>
      <c r="B53" s="204">
        <v>12.0</v>
      </c>
      <c r="C53" s="205" t="s">
        <v>97</v>
      </c>
      <c r="D53" s="206" t="s">
        <v>13</v>
      </c>
      <c r="E53" s="483">
        <f>'7A'!M16</f>
        <v>92</v>
      </c>
      <c r="F53" s="488"/>
      <c r="G53" s="488"/>
      <c r="H53" s="488"/>
      <c r="I53" s="488"/>
      <c r="J53" s="488"/>
      <c r="K53" s="488"/>
    </row>
    <row r="54">
      <c r="A54" s="208" t="s">
        <v>100</v>
      </c>
      <c r="B54" s="210">
        <v>11.0</v>
      </c>
      <c r="C54" s="211" t="s">
        <v>101</v>
      </c>
      <c r="D54" s="212" t="s">
        <v>13</v>
      </c>
      <c r="E54" s="483">
        <f>'6A'!M15</f>
        <v>99</v>
      </c>
      <c r="F54" s="488"/>
      <c r="G54" s="488"/>
      <c r="H54" s="488"/>
      <c r="I54" s="488"/>
      <c r="J54" s="488"/>
      <c r="K54" s="488"/>
    </row>
    <row r="55">
      <c r="A55" s="213" t="s">
        <v>102</v>
      </c>
      <c r="B55" s="215">
        <v>12.0</v>
      </c>
      <c r="C55" s="217" t="s">
        <v>103</v>
      </c>
      <c r="D55" s="218" t="s">
        <v>13</v>
      </c>
      <c r="E55" s="483">
        <f>'14B'!M15</f>
        <v>81</v>
      </c>
      <c r="F55" s="488"/>
      <c r="G55" s="488"/>
      <c r="H55" s="488"/>
      <c r="I55" s="488"/>
      <c r="J55" s="488"/>
      <c r="K55" s="488"/>
    </row>
    <row r="56">
      <c r="A56" s="219" t="s">
        <v>104</v>
      </c>
      <c r="B56" s="220">
        <v>10.0</v>
      </c>
      <c r="C56" s="221" t="s">
        <v>103</v>
      </c>
      <c r="D56" s="222" t="s">
        <v>13</v>
      </c>
      <c r="E56" s="483">
        <f>'15B'!M13</f>
        <v>105</v>
      </c>
      <c r="F56" s="488"/>
      <c r="G56" s="488"/>
      <c r="H56" s="488"/>
      <c r="I56" s="488"/>
      <c r="J56" s="488"/>
      <c r="K56" s="488"/>
    </row>
    <row r="57">
      <c r="A57" s="219" t="s">
        <v>106</v>
      </c>
      <c r="B57" s="220">
        <v>10.0</v>
      </c>
      <c r="C57" s="221" t="s">
        <v>103</v>
      </c>
      <c r="D57" s="222" t="s">
        <v>13</v>
      </c>
      <c r="E57" s="483">
        <f>'16B'!M16</f>
        <v>77</v>
      </c>
      <c r="F57" s="488"/>
      <c r="G57" s="488"/>
      <c r="H57" s="488"/>
      <c r="I57" s="488"/>
      <c r="J57" s="488"/>
      <c r="K57" s="488"/>
    </row>
    <row r="58">
      <c r="A58" s="219" t="s">
        <v>107</v>
      </c>
      <c r="B58" s="220">
        <v>12.0</v>
      </c>
      <c r="C58" s="221" t="s">
        <v>103</v>
      </c>
      <c r="D58" s="222" t="s">
        <v>13</v>
      </c>
      <c r="E58" s="483">
        <f>'7A'!M15</f>
        <v>104</v>
      </c>
      <c r="F58" s="488"/>
      <c r="G58" s="488"/>
      <c r="H58" s="488"/>
      <c r="I58" s="488"/>
      <c r="J58" s="488"/>
      <c r="K58" s="488"/>
    </row>
    <row r="59">
      <c r="A59" s="219" t="s">
        <v>108</v>
      </c>
      <c r="B59" s="220">
        <v>10.0</v>
      </c>
      <c r="C59" s="221" t="s">
        <v>103</v>
      </c>
      <c r="D59" s="222" t="s">
        <v>13</v>
      </c>
      <c r="E59" s="483">
        <f>'14A'!M14</f>
        <v>77</v>
      </c>
      <c r="F59" s="488"/>
      <c r="G59" s="488"/>
      <c r="H59" s="488"/>
      <c r="I59" s="488"/>
      <c r="J59" s="488"/>
      <c r="K59" s="488"/>
    </row>
    <row r="60">
      <c r="A60" s="223" t="s">
        <v>110</v>
      </c>
      <c r="B60" s="225">
        <v>10.0</v>
      </c>
      <c r="C60" s="226" t="s">
        <v>103</v>
      </c>
      <c r="D60" s="227" t="s">
        <v>13</v>
      </c>
      <c r="E60" s="483">
        <f>'7B'!M15</f>
        <v>76</v>
      </c>
      <c r="F60" s="488"/>
      <c r="G60" s="488"/>
      <c r="H60" s="488"/>
      <c r="I60" s="488"/>
      <c r="J60" s="488"/>
      <c r="K60" s="488"/>
    </row>
    <row r="61">
      <c r="A61" s="228" t="s">
        <v>36</v>
      </c>
      <c r="B61" s="229" t="s">
        <v>113</v>
      </c>
      <c r="C61" s="230" t="s">
        <v>37</v>
      </c>
      <c r="D61" s="231" t="s">
        <v>13</v>
      </c>
      <c r="E61" s="483">
        <f>'1A'!M14</f>
        <v>63</v>
      </c>
      <c r="F61" s="488"/>
      <c r="G61" s="488"/>
      <c r="H61" s="488"/>
      <c r="I61" s="488"/>
      <c r="J61" s="488"/>
      <c r="K61" s="488"/>
    </row>
    <row r="62">
      <c r="A62" s="232" t="s">
        <v>56</v>
      </c>
      <c r="B62" s="233" t="s">
        <v>114</v>
      </c>
      <c r="C62" s="234" t="s">
        <v>37</v>
      </c>
      <c r="D62" s="235" t="s">
        <v>13</v>
      </c>
      <c r="E62" s="483">
        <f>'1B'!M14</f>
        <v>60</v>
      </c>
      <c r="F62" s="488"/>
      <c r="G62" s="488"/>
      <c r="H62" s="488"/>
      <c r="I62" s="488"/>
      <c r="J62" s="488"/>
      <c r="K62" s="488"/>
    </row>
    <row r="63">
      <c r="A63" s="232" t="s">
        <v>115</v>
      </c>
      <c r="B63" s="233" t="s">
        <v>113</v>
      </c>
      <c r="C63" s="234" t="s">
        <v>37</v>
      </c>
      <c r="D63" s="235" t="s">
        <v>13</v>
      </c>
      <c r="E63" s="483">
        <f>'16A'!M15</f>
        <v>67</v>
      </c>
      <c r="F63" s="488"/>
      <c r="G63" s="488"/>
      <c r="H63" s="488"/>
      <c r="I63" s="488"/>
      <c r="J63" s="488"/>
      <c r="K63" s="488"/>
    </row>
    <row r="64">
      <c r="A64" s="232" t="s">
        <v>78</v>
      </c>
      <c r="B64" s="233" t="s">
        <v>117</v>
      </c>
      <c r="C64" s="234" t="s">
        <v>37</v>
      </c>
      <c r="D64" s="235" t="s">
        <v>13</v>
      </c>
      <c r="E64" s="483">
        <f>'18A'!M16</f>
        <v>81</v>
      </c>
      <c r="F64" s="488"/>
      <c r="G64" s="488"/>
      <c r="H64" s="488"/>
      <c r="I64" s="488"/>
      <c r="J64" s="488"/>
      <c r="K64" s="488"/>
    </row>
    <row r="65">
      <c r="A65" s="232" t="s">
        <v>105</v>
      </c>
      <c r="B65" s="233" t="s">
        <v>117</v>
      </c>
      <c r="C65" s="234" t="s">
        <v>37</v>
      </c>
      <c r="D65" s="235" t="s">
        <v>13</v>
      </c>
      <c r="E65" s="483">
        <f>'17A'!M16</f>
        <v>77</v>
      </c>
      <c r="F65" s="488"/>
      <c r="G65" s="488"/>
      <c r="H65" s="488"/>
      <c r="I65" s="488"/>
      <c r="J65" s="488"/>
      <c r="K65" s="488"/>
    </row>
    <row r="66">
      <c r="A66" s="236" t="s">
        <v>116</v>
      </c>
      <c r="B66" s="238" t="s">
        <v>117</v>
      </c>
      <c r="C66" s="239" t="s">
        <v>37</v>
      </c>
      <c r="D66" s="240" t="s">
        <v>13</v>
      </c>
      <c r="E66" s="483">
        <f>'17B'!M15</f>
        <v>69</v>
      </c>
      <c r="F66" s="488"/>
      <c r="G66" s="488"/>
      <c r="H66" s="488"/>
      <c r="I66" s="488"/>
      <c r="J66" s="488"/>
      <c r="K66" s="488"/>
    </row>
    <row r="67">
      <c r="A67" s="242" t="s">
        <v>118</v>
      </c>
      <c r="B67" s="242" t="s">
        <v>117</v>
      </c>
      <c r="C67" s="244" t="s">
        <v>37</v>
      </c>
      <c r="D67" s="242" t="s">
        <v>19</v>
      </c>
      <c r="E67" s="483">
        <f>'10B'!M16</f>
        <v>111</v>
      </c>
      <c r="F67" s="488"/>
      <c r="G67" s="488"/>
      <c r="H67" s="488"/>
      <c r="I67" s="488"/>
      <c r="J67" s="488"/>
      <c r="K67" s="488"/>
    </row>
    <row r="68">
      <c r="A68" s="245" t="s">
        <v>69</v>
      </c>
      <c r="B68" s="246"/>
      <c r="C68" s="247" t="s">
        <v>71</v>
      </c>
      <c r="D68" s="249"/>
      <c r="E68" s="483">
        <f>'18A'!M14</f>
        <v>74</v>
      </c>
      <c r="F68" s="488"/>
      <c r="G68" s="488"/>
      <c r="H68" s="488"/>
      <c r="I68" s="488"/>
      <c r="J68" s="488"/>
      <c r="K68" s="488"/>
    </row>
    <row r="69">
      <c r="A69" s="250" t="s">
        <v>120</v>
      </c>
      <c r="B69" s="251"/>
      <c r="C69" s="253" t="s">
        <v>71</v>
      </c>
      <c r="D69" s="254"/>
      <c r="E69" s="483">
        <f>'10A'!M14</f>
        <v>78</v>
      </c>
      <c r="F69" s="488"/>
      <c r="G69" s="488"/>
      <c r="H69" s="488"/>
      <c r="I69" s="488"/>
      <c r="J69" s="488"/>
      <c r="K69" s="488"/>
    </row>
    <row r="70">
      <c r="A70" s="250" t="s">
        <v>123</v>
      </c>
      <c r="B70" s="251"/>
      <c r="C70" s="253" t="s">
        <v>71</v>
      </c>
      <c r="D70" s="254"/>
      <c r="E70" s="483">
        <f>'16A'!M16</f>
        <v>70</v>
      </c>
      <c r="F70" s="488"/>
      <c r="G70" s="488"/>
      <c r="H70" s="488"/>
      <c r="I70" s="488"/>
      <c r="J70" s="488"/>
      <c r="K70" s="488"/>
    </row>
    <row r="71">
      <c r="A71" s="250" t="s">
        <v>124</v>
      </c>
      <c r="B71" s="251"/>
      <c r="C71" s="253" t="s">
        <v>71</v>
      </c>
      <c r="D71" s="254"/>
      <c r="E71" s="483">
        <f>'14A'!M16</f>
        <v>75</v>
      </c>
      <c r="F71" s="488"/>
      <c r="G71" s="488"/>
      <c r="H71" s="488"/>
      <c r="I71" s="488"/>
      <c r="J71" s="488"/>
      <c r="K71" s="488"/>
    </row>
    <row r="72">
      <c r="A72" s="250" t="s">
        <v>125</v>
      </c>
      <c r="B72" s="251"/>
      <c r="C72" s="253" t="s">
        <v>71</v>
      </c>
      <c r="D72" s="254"/>
      <c r="E72" s="483">
        <f>'7B'!M16</f>
        <v>89</v>
      </c>
      <c r="F72" s="488"/>
      <c r="G72" s="488"/>
      <c r="H72" s="488"/>
      <c r="I72" s="488"/>
      <c r="J72" s="488"/>
      <c r="K72" s="488"/>
    </row>
    <row r="73">
      <c r="A73" s="255" t="s">
        <v>126</v>
      </c>
      <c r="B73" s="256"/>
      <c r="C73" s="257" t="s">
        <v>71</v>
      </c>
      <c r="D73" s="258"/>
      <c r="E73" s="483">
        <f>'6A'!M16</f>
        <v>73</v>
      </c>
      <c r="F73" s="488"/>
      <c r="G73" s="488"/>
      <c r="H73" s="488"/>
      <c r="I73" s="488"/>
      <c r="J73" s="488"/>
      <c r="K73" s="488"/>
    </row>
    <row r="74">
      <c r="A74" s="260" t="s">
        <v>127</v>
      </c>
      <c r="B74" s="260"/>
      <c r="C74" s="261" t="s">
        <v>71</v>
      </c>
      <c r="D74" s="260"/>
      <c r="E74" s="483">
        <f>'10B'!M13</f>
        <v>90</v>
      </c>
      <c r="F74" s="488"/>
      <c r="G74" s="488"/>
      <c r="H74" s="488"/>
      <c r="I74" s="488"/>
      <c r="J74" s="488"/>
      <c r="K74" s="488"/>
    </row>
    <row r="75">
      <c r="A75" s="251" t="s">
        <v>128</v>
      </c>
      <c r="B75" s="251"/>
      <c r="C75" s="253" t="s">
        <v>71</v>
      </c>
      <c r="D75" s="251"/>
      <c r="E75" s="483">
        <f>'8A'!M15</f>
        <v>70</v>
      </c>
      <c r="F75" s="488"/>
      <c r="G75" s="488"/>
      <c r="H75" s="488"/>
      <c r="I75" s="488"/>
      <c r="J75" s="488"/>
      <c r="K75" s="488"/>
    </row>
    <row r="76">
      <c r="A76" s="251" t="s">
        <v>129</v>
      </c>
      <c r="B76" s="251"/>
      <c r="C76" s="253" t="s">
        <v>71</v>
      </c>
      <c r="D76" s="251"/>
      <c r="E76" s="483">
        <f>'9B'!M14</f>
        <v>108</v>
      </c>
      <c r="F76" s="488"/>
      <c r="G76" s="488"/>
      <c r="H76" s="488"/>
      <c r="I76" s="488"/>
      <c r="J76" s="488"/>
      <c r="K76" s="488"/>
    </row>
    <row r="77">
      <c r="A77" s="262" t="s">
        <v>50</v>
      </c>
      <c r="B77" s="263">
        <v>11.0</v>
      </c>
      <c r="C77" s="264" t="s">
        <v>53</v>
      </c>
      <c r="D77" s="265" t="s">
        <v>13</v>
      </c>
      <c r="E77" s="495">
        <f>'1B'!M13</f>
        <v>66</v>
      </c>
      <c r="F77" s="488"/>
      <c r="G77" s="488"/>
      <c r="H77" s="488"/>
      <c r="I77" s="488"/>
      <c r="J77" s="488"/>
      <c r="K77" s="488"/>
    </row>
    <row r="78">
      <c r="A78" s="266" t="s">
        <v>74</v>
      </c>
      <c r="B78" s="267">
        <v>12.0</v>
      </c>
      <c r="C78" s="268" t="s">
        <v>53</v>
      </c>
      <c r="D78" s="269" t="s">
        <v>13</v>
      </c>
      <c r="E78" s="495">
        <f>'18A'!M15</f>
        <v>86</v>
      </c>
      <c r="F78" s="488"/>
      <c r="G78" s="488"/>
      <c r="H78" s="488"/>
      <c r="I78" s="488"/>
      <c r="J78" s="488"/>
      <c r="K78" s="488"/>
    </row>
    <row r="79">
      <c r="A79" s="266" t="s">
        <v>89</v>
      </c>
      <c r="B79" s="267">
        <v>11.0</v>
      </c>
      <c r="C79" s="268" t="s">
        <v>53</v>
      </c>
      <c r="D79" s="269" t="s">
        <v>13</v>
      </c>
      <c r="E79" s="495">
        <f>'18B'!M15</f>
        <v>82</v>
      </c>
      <c r="F79" s="488"/>
      <c r="G79" s="488"/>
      <c r="H79" s="488"/>
      <c r="I79" s="488"/>
      <c r="J79" s="488"/>
      <c r="K79" s="488"/>
    </row>
    <row r="80">
      <c r="A80" s="266" t="s">
        <v>111</v>
      </c>
      <c r="B80" s="267">
        <v>11.0</v>
      </c>
      <c r="C80" s="268" t="s">
        <v>53</v>
      </c>
      <c r="D80" s="269" t="s">
        <v>13</v>
      </c>
      <c r="E80" s="495">
        <f>'17B'!M13</f>
        <v>79</v>
      </c>
      <c r="F80" s="488"/>
      <c r="G80" s="488"/>
      <c r="H80" s="488"/>
      <c r="I80" s="488"/>
      <c r="J80" s="488"/>
      <c r="K80" s="488"/>
    </row>
    <row r="81">
      <c r="A81" s="266" t="s">
        <v>121</v>
      </c>
      <c r="B81" s="267">
        <v>9.0</v>
      </c>
      <c r="C81" s="268" t="s">
        <v>53</v>
      </c>
      <c r="D81" s="269" t="s">
        <v>13</v>
      </c>
      <c r="E81" s="495">
        <f>'16A'!M13</f>
        <v>67</v>
      </c>
      <c r="F81" s="488"/>
      <c r="G81" s="488"/>
      <c r="H81" s="488"/>
      <c r="I81" s="488"/>
      <c r="J81" s="488"/>
      <c r="K81" s="488"/>
    </row>
    <row r="82">
      <c r="A82" s="272" t="s">
        <v>96</v>
      </c>
      <c r="B82" s="273">
        <v>12.0</v>
      </c>
      <c r="C82" s="274" t="s">
        <v>53</v>
      </c>
      <c r="D82" s="275" t="s">
        <v>13</v>
      </c>
      <c r="E82" s="495">
        <f>'17A'!M13</f>
        <v>76</v>
      </c>
      <c r="F82" s="488"/>
      <c r="G82" s="488"/>
      <c r="H82" s="488"/>
      <c r="I82" s="488"/>
      <c r="J82" s="488"/>
      <c r="K82" s="488"/>
    </row>
    <row r="83">
      <c r="A83" s="276" t="s">
        <v>130</v>
      </c>
      <c r="B83" s="276">
        <v>9.0</v>
      </c>
      <c r="C83" s="277" t="s">
        <v>53</v>
      </c>
      <c r="D83" s="276" t="s">
        <v>19</v>
      </c>
      <c r="E83" s="495">
        <f>'9A'!M15</f>
        <v>100</v>
      </c>
      <c r="F83" s="488"/>
      <c r="G83" s="488"/>
      <c r="H83" s="488"/>
      <c r="I83" s="488"/>
      <c r="J83" s="488"/>
      <c r="K83" s="488"/>
    </row>
    <row r="84">
      <c r="F84" s="488"/>
      <c r="G84" s="488"/>
      <c r="H84" s="488"/>
      <c r="I84" s="488"/>
      <c r="J84" s="488"/>
      <c r="K84" s="488"/>
    </row>
  </sheetData>
  <mergeCells count="6">
    <mergeCell ref="A1:E1"/>
    <mergeCell ref="F1:H1"/>
    <mergeCell ref="I1:K1"/>
    <mergeCell ref="F27:H29"/>
    <mergeCell ref="F41:H43"/>
    <mergeCell ref="F13:H1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